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aac\Downloads\"/>
    </mc:Choice>
  </mc:AlternateContent>
  <xr:revisionPtr revIDLastSave="0" documentId="13_ncr:1_{C8AAA336-95F8-4313-B114-9489F4861237}" xr6:coauthVersionLast="47" xr6:coauthVersionMax="47" xr10:uidLastSave="{00000000-0000-0000-0000-000000000000}"/>
  <bookViews>
    <workbookView xWindow="-120" yWindow="-120" windowWidth="20640" windowHeight="11160" xr2:uid="{0F53E2A6-D491-493E-AADF-DE65020D1D3A}"/>
  </bookViews>
  <sheets>
    <sheet name="Orçado ProjetoTarifas" sheetId="1" r:id="rId1"/>
  </sheets>
  <definedNames>
    <definedName name="_xlnm._FilterDatabase" localSheetId="0" hidden="1">'Orçado ProjetoTarifas'!$A$1:$R$83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8" i="1" l="1"/>
  <c r="N3" i="1"/>
  <c r="N21" i="1"/>
  <c r="N46" i="1"/>
  <c r="N44" i="1"/>
  <c r="N7" i="1"/>
  <c r="N32" i="1"/>
  <c r="N69" i="1"/>
  <c r="N47" i="1"/>
  <c r="N54" i="1"/>
  <c r="N66" i="1"/>
  <c r="N60" i="1"/>
  <c r="N59" i="1"/>
  <c r="N23" i="1"/>
  <c r="N53" i="1"/>
  <c r="N50" i="1"/>
  <c r="N49" i="1"/>
  <c r="N52" i="1"/>
  <c r="N56" i="1"/>
  <c r="N39" i="1"/>
  <c r="N15" i="1"/>
  <c r="N38" i="1"/>
  <c r="N29" i="1"/>
  <c r="N73" i="1"/>
  <c r="N27" i="1"/>
  <c r="N26" i="1"/>
  <c r="N17" i="1"/>
  <c r="N41" i="1"/>
  <c r="N24" i="1"/>
  <c r="N5" i="1"/>
  <c r="N9" i="1"/>
  <c r="N8" i="1"/>
  <c r="N28" i="1"/>
  <c r="M5" i="1" l="1"/>
  <c r="M17" i="1"/>
  <c r="M7" i="1"/>
  <c r="M52" i="1"/>
  <c r="M56" i="1"/>
  <c r="M54" i="1"/>
  <c r="M48" i="1"/>
  <c r="M3" i="1"/>
  <c r="M21" i="1"/>
  <c r="M23" i="1"/>
  <c r="M53" i="1"/>
  <c r="M15" i="1"/>
  <c r="M38" i="1"/>
  <c r="M73" i="1"/>
  <c r="M27" i="1"/>
  <c r="M26" i="1"/>
  <c r="M41" i="1"/>
  <c r="M24" i="1"/>
  <c r="M32" i="1"/>
  <c r="M69" i="1"/>
  <c r="M47" i="1"/>
  <c r="M28" i="1"/>
</calcChain>
</file>

<file path=xl/sharedStrings.xml><?xml version="1.0" encoding="utf-8"?>
<sst xmlns="http://schemas.openxmlformats.org/spreadsheetml/2006/main" count="363" uniqueCount="169">
  <si>
    <t>Item</t>
  </si>
  <si>
    <t>Agrupamento</t>
  </si>
  <si>
    <t>Cod. Cliente</t>
  </si>
  <si>
    <t>Atividade</t>
  </si>
  <si>
    <t>Unidade</t>
  </si>
  <si>
    <t>Físico Total</t>
  </si>
  <si>
    <t>Fisíco Mensal</t>
  </si>
  <si>
    <t>Tipo</t>
  </si>
  <si>
    <t>HH</t>
  </si>
  <si>
    <t>HM</t>
  </si>
  <si>
    <t>Preço Hora</t>
  </si>
  <si>
    <t>Preço Unitário</t>
  </si>
  <si>
    <t>Diaria_TF</t>
  </si>
  <si>
    <t>ROÇADA MANUAL CLASSE I</t>
  </si>
  <si>
    <t xml:space="preserve">Ha </t>
  </si>
  <si>
    <t>Manual</t>
  </si>
  <si>
    <t>ROÇADA MANUAL CLASSE II</t>
  </si>
  <si>
    <t>ROÇADA MANUAL CLASSE III</t>
  </si>
  <si>
    <t>ROÇADA MANUAL CLASSE IV</t>
  </si>
  <si>
    <t>ROÇADA MANUAL CLASSE V</t>
  </si>
  <si>
    <t>Formiga_Man</t>
  </si>
  <si>
    <t>COMBATE DE FORMIGAS MANUAL DECLIVIDADE</t>
  </si>
  <si>
    <t>CAPINA COROAMENTO MANUAL I</t>
  </si>
  <si>
    <t>CAPINA COROAMENTO MANUAL II</t>
  </si>
  <si>
    <t>CAPINA COROAMENTO MANUAL III</t>
  </si>
  <si>
    <t>CAPINA COROAMENTO MANUAL IV</t>
  </si>
  <si>
    <t>CAPINA COROAMENTO MANUAL V</t>
  </si>
  <si>
    <t>Cap_Quim_Man</t>
  </si>
  <si>
    <t>CAPINA QUÍMICA COROA PRÉ MANUAL</t>
  </si>
  <si>
    <t>CAPINA QUÍMICA COROA PÓS MANUAL</t>
  </si>
  <si>
    <t>CAPINA QUÍMICA TOTAL MANUAL_0 a 30°</t>
  </si>
  <si>
    <t>Adubação_Man</t>
  </si>
  <si>
    <t>ADUBAÇÃO QUÍMICA MANUAL</t>
  </si>
  <si>
    <t>Irrig_Man</t>
  </si>
  <si>
    <t>IRRIGAÇÃO DE PLANTIO MANUAL</t>
  </si>
  <si>
    <t>Plantio_Man</t>
  </si>
  <si>
    <t>PLANTIO MANUAL SEM GEL</t>
  </si>
  <si>
    <t>Replantio</t>
  </si>
  <si>
    <t>REPLANTIO MANUAL COM GEL</t>
  </si>
  <si>
    <t>Motocoveador</t>
  </si>
  <si>
    <t>COVEAMENTO SEMI MECANIZADO - 30CM</t>
  </si>
  <si>
    <t>Semi-Mecanizada</t>
  </si>
  <si>
    <t>Motorroçadeira</t>
  </si>
  <si>
    <t>ROÇADA SEMIMECANIZADA ÁREA TOTAL</t>
  </si>
  <si>
    <t>Plantio_SemiMec</t>
  </si>
  <si>
    <t>PLANTIO SEMIMEC</t>
  </si>
  <si>
    <t>Irrig_SemiMec_5km</t>
  </si>
  <si>
    <t>IRRIGAÇÃO DE PLANTIO SEMIMEC</t>
  </si>
  <si>
    <t>REPLANTIO SEMIMECANIZADO</t>
  </si>
  <si>
    <t>Irrig_Replantio_SemiMec</t>
  </si>
  <si>
    <t>IRRIGAÇÃO DE REPLANTIO SEMI MECANIZADO</t>
  </si>
  <si>
    <t>Drone</t>
  </si>
  <si>
    <t>CAPINA QUÍMICA TOTAL DRONE</t>
  </si>
  <si>
    <t>Mecanizada</t>
  </si>
  <si>
    <t>COMBATE A FORMIGA DRONE</t>
  </si>
  <si>
    <t>Adubação_Mec</t>
  </si>
  <si>
    <t>ADUBAÇÃO DE COBERTURA MECANIZADO</t>
  </si>
  <si>
    <t>Corretivo_Solo</t>
  </si>
  <si>
    <t>APLICAÇÃO DE CALCÁRIO MECANIZADO</t>
  </si>
  <si>
    <t>Conceição</t>
  </si>
  <si>
    <t>CAPINA PÓS EMERGENTE ENTRELINHA MECANIZADO</t>
  </si>
  <si>
    <t>CAPINA PREPOS EMERGENTE ENTRELINHA MECANIZADO</t>
  </si>
  <si>
    <t>Barra</t>
  </si>
  <si>
    <t>CAPINA PÓS EMERGENTE TOTAL MECANIZADO</t>
  </si>
  <si>
    <t>CAPINA PRÉ EMERGENTE TOTAL MECANIZADO</t>
  </si>
  <si>
    <t>Roçada_Mec</t>
  </si>
  <si>
    <t>ROÇADA MECANIZADA</t>
  </si>
  <si>
    <t>PS_TPpesado_60cm</t>
  </si>
  <si>
    <t>SUBSOLAGEM COM ADUBAÇÃO (TRATOR PNEU)</t>
  </si>
  <si>
    <t>PS_Escavadeira_Decliv</t>
  </si>
  <si>
    <t>PREPARO DE SOLO COM ADUBAÇÃO DE BASE E MARCAÇÃO DE BACIA ECAVADEIRA</t>
  </si>
  <si>
    <t>Gradagem</t>
  </si>
  <si>
    <t>GRADAGEM ARADORA</t>
  </si>
  <si>
    <t>GRADAGEM NIVELADORA</t>
  </si>
  <si>
    <t>Ativ_Manual</t>
  </si>
  <si>
    <t>SEMEADURA COM ADUBAÇÃO</t>
  </si>
  <si>
    <t>PS_TE</t>
  </si>
  <si>
    <t>PREPARO DE SOLO COM MÁQUINA DE ESTEIRA</t>
  </si>
  <si>
    <t>COVEAMENTO SEMI MECANIZADO - 40CM</t>
  </si>
  <si>
    <t>CONTROLE DE FORMIGAS MANUAL  (REPASSE)</t>
  </si>
  <si>
    <t>Semeadura_Mec</t>
  </si>
  <si>
    <t>ROÇADA SEMIMECANIZADA NA LINHA</t>
  </si>
  <si>
    <t>ROÇADA SEMIMECANIZADA NA ENTRELINHA</t>
  </si>
  <si>
    <t>CAPINA QUÍMICA LINHA PLANO</t>
  </si>
  <si>
    <t>CAPINA QUÍMICA LINHA DECLIVIDADE</t>
  </si>
  <si>
    <t>CAPINA QUÍMICA TOTAL MANUAL DECLIVIDADE</t>
  </si>
  <si>
    <t>CONTROLE DE FORMIGAS MANUAL  DECLIVIDADE (REPASSE)</t>
  </si>
  <si>
    <t>COMBATE DE FORMIGAS MANUAL</t>
  </si>
  <si>
    <t>Plantio_Man_Gel</t>
  </si>
  <si>
    <t>PLANTIO MANUAL COM GEL</t>
  </si>
  <si>
    <t>REPLANTIO MANUAL SEM GEL</t>
  </si>
  <si>
    <t>CAPINA QUÍMICA TOTAL MANUAL PLANO</t>
  </si>
  <si>
    <t>SERVIÇO DE MÃO DE OBRA</t>
  </si>
  <si>
    <t>Diária</t>
  </si>
  <si>
    <t>Diaria_TP_Leve</t>
  </si>
  <si>
    <t>SERVIÇO DE TRATOR PNEU LEVE</t>
  </si>
  <si>
    <t>Diaria_TP_Pesado</t>
  </si>
  <si>
    <t>SERVIÇO DE TRATOR PNEU PESADO</t>
  </si>
  <si>
    <t>Diaria_TP_SuperPesado</t>
  </si>
  <si>
    <t>SERVIÇO DE TRATOR PNEU SUPERPESADO</t>
  </si>
  <si>
    <t>Diaria_Escavadeira</t>
  </si>
  <si>
    <t>SERVIÇO DE ESCAVADEIRA HIDRAÚLICA</t>
  </si>
  <si>
    <t>Diaria_CP</t>
  </si>
  <si>
    <t>SERVIÇO DE CAMINHÃO PIPA</t>
  </si>
  <si>
    <t>Diaria_Truck_Munck</t>
  </si>
  <si>
    <t>SERVIÇO DE CAMINHÃO MUNCK</t>
  </si>
  <si>
    <t>Diaria_Implemento</t>
  </si>
  <si>
    <t>SERVIÇO DE IMPLEMENTO AGRÍCOLA</t>
  </si>
  <si>
    <t>Diaria_CB</t>
  </si>
  <si>
    <t>SERVIÇO DE CAMINHÃO BAÚ</t>
  </si>
  <si>
    <t>Diaria_CCS</t>
  </si>
  <si>
    <t>SERVIÇO DE CAMINHÃO CAB SUPLEMENTAR</t>
  </si>
  <si>
    <t>Diaria_PRANCHA</t>
  </si>
  <si>
    <t>SERVIÇO DE CAMINHÃO PRANCHA</t>
  </si>
  <si>
    <t>Diaria_COMBOIO</t>
  </si>
  <si>
    <t>SERVIÇO DE CAMINHÃO COMBOIO</t>
  </si>
  <si>
    <t>Diaria_OFICINA</t>
  </si>
  <si>
    <t>SERVIÇO DE SUPORTE OFICINA (PICKUP-STRADA + FERRAMENTAL)</t>
  </si>
  <si>
    <t>Km_CP</t>
  </si>
  <si>
    <t>KM DE CAMINHÃO PIPA</t>
  </si>
  <si>
    <t>Km</t>
  </si>
  <si>
    <t>Km_VL</t>
  </si>
  <si>
    <t>KM DE VEÍCULO LEVE</t>
  </si>
  <si>
    <t>Diaria_TP_Leve_Parado</t>
  </si>
  <si>
    <t>SERVIÇO DE TRATOR PNEU LEVE Á DISPOSIÇÃO</t>
  </si>
  <si>
    <t>Diaria_TP_Pesado_Parado</t>
  </si>
  <si>
    <t>SERVIÇO DE TRATOR PNEU PESADO Á DISPOSIÇÃO</t>
  </si>
  <si>
    <t>Diaria_TP_SuperPesado_Parado</t>
  </si>
  <si>
    <t>SERVIÇO DE TRATOR PNEU SUPERPESADO Á DISPOSIÇÃO</t>
  </si>
  <si>
    <t>Diaria_Escavadeira_Parado</t>
  </si>
  <si>
    <t>SERVIÇO DE ESCAVADEIRA HIDRAÚLICA Á DISPOSIÇÃO</t>
  </si>
  <si>
    <t>Diaria_CP_Parado</t>
  </si>
  <si>
    <t>SERVIÇO DE CAMINHÃO PIPA Á DISPOSIÇÃO</t>
  </si>
  <si>
    <t>Diaria_Truck_Munck_Parado</t>
  </si>
  <si>
    <t>SERVIÇO DE CAMINHÃO MUNCK Á DISPOSIÇÃO</t>
  </si>
  <si>
    <t>Diaria_Implemento_Parado</t>
  </si>
  <si>
    <t>SERVIÇO DE IMPLEMENTO AGRÍCOLA Á DISPOSIÇÃO</t>
  </si>
  <si>
    <t>Diaria_CB_Parado</t>
  </si>
  <si>
    <t>SERVIÇO DE CAMINHÃO BAÚ Á DISPOSIÇÃO</t>
  </si>
  <si>
    <t>Diaria_CCS_Parado</t>
  </si>
  <si>
    <t>SERVIÇO DE CAMINHÃO CAB SUPLEMENTA Á DISPOSIÇÃO</t>
  </si>
  <si>
    <t>Diaria_PRANCHA_Parado</t>
  </si>
  <si>
    <t>SERVIÇO DE CAMINHÃO PRANCHA Á DISPOSIÇÃO</t>
  </si>
  <si>
    <t>Diaria_COMBOIO_Parado</t>
  </si>
  <si>
    <t>SERVIÇO DE CAMINHÃO COMBOIO Á DISPOSIÇÃO</t>
  </si>
  <si>
    <t>Km_TC</t>
  </si>
  <si>
    <t>KM EXCEDENTE TRANSPORTE DE PESSOAS (FRANQUIA 4000KM/MÊS)</t>
  </si>
  <si>
    <t>Diária_TE</t>
  </si>
  <si>
    <t>SERVIÇO DE TRATOR DE ESTEIRA</t>
  </si>
  <si>
    <t>Diária_TE_Parado</t>
  </si>
  <si>
    <t>SERVIÇO DE TRATOR DE ESTEIRA Á DISPOSIÇÃO</t>
  </si>
  <si>
    <t>CONFECÇÃO DE BACIA MANUAL</t>
  </si>
  <si>
    <t>Reajustadas</t>
  </si>
  <si>
    <t>Rendimento Real 2° Tri</t>
  </si>
  <si>
    <t>Rendimento Real 1° Tri</t>
  </si>
  <si>
    <t>Evolução HH Contrato</t>
  </si>
  <si>
    <t>Comparativo HH 2° x Orç</t>
  </si>
  <si>
    <t>Barra 1</t>
  </si>
  <si>
    <t>Barra 2</t>
  </si>
  <si>
    <t>Barra 3</t>
  </si>
  <si>
    <t>Barra 6</t>
  </si>
  <si>
    <t>Barra 5</t>
  </si>
  <si>
    <t>Barra 7</t>
  </si>
  <si>
    <t>Barra 4</t>
  </si>
  <si>
    <t>Barra 8</t>
  </si>
  <si>
    <t>Barra 9</t>
  </si>
  <si>
    <t>Barra 10</t>
  </si>
  <si>
    <t>Barra 11</t>
  </si>
  <si>
    <t>Barra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</si>
</sst>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[$R$-416]\ * #,##0.00_-;\-[$R$-416]\ * #,##0.00_-;_-[$R$-416]\ * &quot;-&quot;??_-;_-@_-"/>
    <numFmt numFmtId="165" formatCode="_-* #,##0_-;\-* #,##0_-;_-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249977111117893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/>
      <diagonal/>
    </border>
    <border>
      <left/>
      <right style="thin">
        <color theme="0" tint="-0.34998626667073579"/>
      </right>
      <top style="medium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/>
      <diagonal/>
    </border>
    <border>
      <left style="thin">
        <color theme="0" tint="-0.34998626667073579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43" fontId="3" fillId="2" borderId="3" xfId="1" applyFont="1" applyFill="1" applyBorder="1" applyAlignment="1">
      <alignment horizontal="center" vertical="center" wrapText="1"/>
    </xf>
    <xf numFmtId="44" fontId="3" fillId="2" borderId="4" xfId="2" applyFont="1" applyFill="1" applyBorder="1" applyAlignment="1">
      <alignment horizontal="center" vertical="center" wrapText="1"/>
    </xf>
    <xf numFmtId="164" fontId="3" fillId="2" borderId="4" xfId="1" applyNumberFormat="1" applyFont="1" applyFill="1" applyBorder="1" applyAlignment="1">
      <alignment horizontal="center" vertical="center" wrapText="1"/>
    </xf>
    <xf numFmtId="0" fontId="1" fillId="0" borderId="5" xfId="3" applyFont="1" applyBorder="1" applyAlignment="1">
      <alignment horizontal="center"/>
    </xf>
    <xf numFmtId="0" fontId="0" fillId="3" borderId="5" xfId="0" applyFill="1" applyBorder="1" applyAlignment="1">
      <alignment horizontal="left"/>
    </xf>
    <xf numFmtId="0" fontId="0" fillId="3" borderId="5" xfId="0" applyFill="1" applyBorder="1" applyAlignment="1">
      <alignment horizontal="center"/>
    </xf>
    <xf numFmtId="0" fontId="5" fillId="3" borderId="5" xfId="0" applyFont="1" applyFill="1" applyBorder="1"/>
    <xf numFmtId="43" fontId="1" fillId="3" borderId="5" xfId="1" applyFont="1" applyFill="1" applyBorder="1" applyAlignment="1">
      <alignment horizontal="center"/>
    </xf>
    <xf numFmtId="44" fontId="1" fillId="0" borderId="5" xfId="2" applyFont="1" applyFill="1" applyBorder="1" applyAlignment="1">
      <alignment horizontal="center"/>
    </xf>
    <xf numFmtId="164" fontId="1" fillId="0" borderId="5" xfId="1" applyNumberFormat="1" applyFont="1" applyFill="1" applyBorder="1"/>
    <xf numFmtId="0" fontId="0" fillId="3" borderId="5" xfId="0" applyFill="1" applyBorder="1"/>
    <xf numFmtId="0" fontId="2" fillId="3" borderId="5" xfId="0" applyFont="1" applyFill="1" applyBorder="1" applyAlignment="1">
      <alignment horizontal="center"/>
    </xf>
    <xf numFmtId="43" fontId="5" fillId="3" borderId="5" xfId="1" applyFont="1" applyFill="1" applyBorder="1" applyAlignment="1">
      <alignment horizontal="center"/>
    </xf>
    <xf numFmtId="0" fontId="6" fillId="3" borderId="5" xfId="0" applyFont="1" applyFill="1" applyBorder="1"/>
    <xf numFmtId="0" fontId="6" fillId="3" borderId="5" xfId="0" applyFont="1" applyFill="1" applyBorder="1" applyAlignment="1">
      <alignment horizontal="center"/>
    </xf>
    <xf numFmtId="43" fontId="6" fillId="3" borderId="5" xfId="1" applyFont="1" applyFill="1" applyBorder="1" applyAlignment="1">
      <alignment horizontal="center"/>
    </xf>
    <xf numFmtId="44" fontId="6" fillId="0" borderId="5" xfId="2" applyFont="1" applyFill="1" applyBorder="1" applyAlignment="1">
      <alignment horizontal="center"/>
    </xf>
    <xf numFmtId="164" fontId="6" fillId="0" borderId="5" xfId="1" applyNumberFormat="1" applyFont="1" applyFill="1" applyBorder="1"/>
    <xf numFmtId="0" fontId="0" fillId="3" borderId="5" xfId="0" applyFill="1" applyBorder="1" applyAlignment="1">
      <alignment horizontal="left" vertical="center"/>
    </xf>
    <xf numFmtId="0" fontId="0" fillId="3" borderId="5" xfId="0" applyFill="1" applyBorder="1" applyAlignment="1">
      <alignment horizontal="center" vertical="center"/>
    </xf>
    <xf numFmtId="44" fontId="6" fillId="0" borderId="5" xfId="2" applyFont="1" applyFill="1" applyBorder="1" applyAlignment="1">
      <alignment horizontal="center" vertical="center"/>
    </xf>
    <xf numFmtId="44" fontId="1" fillId="0" borderId="5" xfId="2" applyFont="1" applyFill="1" applyBorder="1" applyAlignment="1">
      <alignment horizontal="center" vertical="center"/>
    </xf>
    <xf numFmtId="44" fontId="0" fillId="0" borderId="5" xfId="2" applyFont="1" applyFill="1" applyBorder="1" applyAlignment="1">
      <alignment horizontal="center"/>
    </xf>
    <xf numFmtId="0" fontId="0" fillId="3" borderId="5" xfId="0" applyFill="1" applyBorder="1" applyAlignment="1">
      <alignment vertical="center"/>
    </xf>
    <xf numFmtId="43" fontId="1" fillId="3" borderId="5" xfId="1" applyFont="1" applyFill="1" applyBorder="1" applyAlignment="1">
      <alignment horizontal="center" vertical="center"/>
    </xf>
    <xf numFmtId="165" fontId="0" fillId="3" borderId="5" xfId="1" applyNumberFormat="1" applyFont="1" applyFill="1" applyBorder="1" applyAlignment="1">
      <alignment horizontal="center"/>
    </xf>
    <xf numFmtId="43" fontId="0" fillId="3" borderId="5" xfId="1" applyFont="1" applyFill="1" applyBorder="1" applyAlignment="1">
      <alignment horizontal="center"/>
    </xf>
    <xf numFmtId="164" fontId="1" fillId="3" borderId="5" xfId="1" applyNumberFormat="1" applyFont="1" applyFill="1" applyBorder="1"/>
    <xf numFmtId="0" fontId="3" fillId="2" borderId="4" xfId="0" applyFont="1" applyFill="1" applyBorder="1" applyAlignment="1">
      <alignment horizontal="center" vertical="center" wrapText="1"/>
    </xf>
    <xf numFmtId="9" fontId="1" fillId="4" borderId="5" xfId="4" applyFont="1" applyFill="1" applyBorder="1" applyAlignment="1">
      <alignment horizontal="center"/>
    </xf>
    <xf numFmtId="10" fontId="1" fillId="5" borderId="5" xfId="4" applyNumberFormat="1" applyFont="1" applyFill="1" applyBorder="1" applyAlignment="1">
      <alignment horizontal="center"/>
    </xf>
    <xf numFmtId="0" fontId="0" fillId="6" borderId="5" xfId="0" applyFill="1" applyBorder="1"/>
    <xf numFmtId="0" fontId="0" fillId="6" borderId="5" xfId="0" applyFill="1" applyBorder="1" applyAlignment="1">
      <alignment horizontal="center"/>
    </xf>
    <xf numFmtId="43" fontId="1" fillId="6" borderId="5" xfId="1" applyFont="1" applyFill="1" applyBorder="1" applyAlignment="1">
      <alignment horizontal="center"/>
    </xf>
    <xf numFmtId="43" fontId="1" fillId="7" borderId="5" xfId="1" applyFont="1" applyFill="1" applyBorder="1" applyAlignment="1">
      <alignment horizontal="center"/>
    </xf>
    <xf numFmtId="43" fontId="5" fillId="6" borderId="5" xfId="1" applyFont="1" applyFill="1" applyBorder="1" applyAlignment="1">
      <alignment horizontal="center"/>
    </xf>
    <xf numFmtId="43" fontId="1" fillId="8" borderId="5" xfId="1" applyFont="1" applyFill="1" applyBorder="1" applyAlignment="1">
      <alignment horizontal="center"/>
    </xf>
    <xf numFmtId="0" fontId="0" fillId="8" borderId="5" xfId="0" applyFill="1" applyBorder="1"/>
    <xf numFmtId="43" fontId="1" fillId="0" borderId="5" xfId="1" applyFont="1" applyFill="1" applyBorder="1" applyAlignment="1">
      <alignment horizontal="center"/>
    </xf>
  </cellXfs>
  <cellStyles count="5">
    <cellStyle name="Hiperlink" xfId="3" builtinId="8"/>
    <cellStyle name="Moeda" xfId="2" builtinId="4"/>
    <cellStyle name="Normal" xfId="0" builtinId="0"/>
    <cellStyle name="Porcentagem" xfId="4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86D9A-1829-42D3-AC52-4AE6D26FDF8A}">
  <sheetPr filterMode="1"/>
  <dimension ref="A1:R83"/>
  <sheetViews>
    <sheetView tabSelected="1" workbookViewId="0">
      <selection activeCell="D2" sqref="D2"/>
    </sheetView>
  </sheetViews>
  <sheetFormatPr defaultRowHeight="15" outlineLevelRow="1" x14ac:dyDescent="0.25"/>
  <cols>
    <col min="1" max="1" width="5.85546875" bestFit="1" customWidth="1"/>
    <col min="2" max="2" width="27" bestFit="1" customWidth="1"/>
    <col min="3" max="3" width="8.7109375" bestFit="1" customWidth="1"/>
    <col min="4" max="4" width="44.5703125" customWidth="1"/>
    <col min="5" max="5" width="8.85546875" customWidth="1"/>
    <col min="6" max="6" width="10.42578125" customWidth="1"/>
    <col min="7" max="7" width="8.7109375" customWidth="1"/>
    <col min="8" max="8" width="16.7109375" customWidth="1"/>
    <col min="9" max="9" width="6.85546875" customWidth="1"/>
    <col min="10" max="10" width="5.85546875" customWidth="1"/>
    <col min="11" max="14" width="16.42578125" customWidth="1"/>
    <col min="15" max="15" width="11.85546875" bestFit="1" customWidth="1"/>
    <col min="16" max="16" width="15.5703125" bestFit="1" customWidth="1"/>
    <col min="17" max="17" width="15" customWidth="1"/>
  </cols>
  <sheetData>
    <row r="1" spans="1:18" ht="56.25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33" t="s">
        <v>153</v>
      </c>
      <c r="L1" s="33" t="s">
        <v>154</v>
      </c>
      <c r="M1" s="33" t="s">
        <v>155</v>
      </c>
      <c r="N1" s="33" t="s">
        <v>156</v>
      </c>
      <c r="O1" s="6" t="s">
        <v>10</v>
      </c>
      <c r="P1" s="6" t="s">
        <v>11</v>
      </c>
      <c r="Q1" s="7" t="s">
        <v>152</v>
      </c>
    </row>
    <row r="2" spans="1:18" x14ac:dyDescent="0.25">
      <c r="A2" s="8">
        <v>27</v>
      </c>
      <c r="B2" s="9" t="s">
        <v>55</v>
      </c>
      <c r="C2" s="10"/>
      <c r="D2" s="15" t="s">
        <v>56</v>
      </c>
      <c r="E2" s="10" t="s">
        <v>14</v>
      </c>
      <c r="F2" s="12">
        <v>172</v>
      </c>
      <c r="G2" s="12">
        <v>2.8666666666666667</v>
      </c>
      <c r="H2" s="12" t="s">
        <v>53</v>
      </c>
      <c r="I2" s="12"/>
      <c r="J2" s="12">
        <v>0.5</v>
      </c>
      <c r="K2" s="12"/>
      <c r="L2" s="12"/>
      <c r="M2" s="12"/>
      <c r="N2" s="12"/>
      <c r="O2" s="13">
        <v>683.14090389495698</v>
      </c>
      <c r="P2" s="13">
        <v>341.57045194747849</v>
      </c>
      <c r="Q2" s="14"/>
    </row>
    <row r="3" spans="1:18" outlineLevel="1" x14ac:dyDescent="0.25">
      <c r="A3" s="8">
        <v>42</v>
      </c>
      <c r="B3" s="9" t="s">
        <v>80</v>
      </c>
      <c r="C3" s="10"/>
      <c r="D3" s="15" t="s">
        <v>75</v>
      </c>
      <c r="E3" s="10" t="s">
        <v>14</v>
      </c>
      <c r="F3" s="12">
        <v>0</v>
      </c>
      <c r="G3" s="12">
        <v>8</v>
      </c>
      <c r="H3" s="12" t="s">
        <v>53</v>
      </c>
      <c r="I3" s="17"/>
      <c r="J3" s="12">
        <v>0.6</v>
      </c>
      <c r="K3" s="12">
        <v>20.73</v>
      </c>
      <c r="L3" s="12">
        <v>33.33</v>
      </c>
      <c r="M3" s="34">
        <f>IF(1-(K3/L3)&gt;0,1-(K3/L3),-1-(K3/L3))</f>
        <v>0.37803780378037799</v>
      </c>
      <c r="N3" s="35">
        <f>IF(1-(K3/J3)&gt;0,1-(K3/J3),1-(K3/J3))</f>
        <v>-33.550000000000004</v>
      </c>
      <c r="O3" s="27">
        <v>673.38830095711683</v>
      </c>
      <c r="P3" s="27">
        <v>404.03298057427008</v>
      </c>
      <c r="Q3" s="14"/>
    </row>
    <row r="4" spans="1:18" hidden="1" outlineLevel="1" x14ac:dyDescent="0.25">
      <c r="A4" s="8">
        <v>28</v>
      </c>
      <c r="B4" s="9" t="s">
        <v>57</v>
      </c>
      <c r="C4" s="16"/>
      <c r="D4" s="15" t="s">
        <v>58</v>
      </c>
      <c r="E4" s="10" t="s">
        <v>14</v>
      </c>
      <c r="F4" s="12">
        <v>196</v>
      </c>
      <c r="G4" s="12">
        <v>3.2666666666666666</v>
      </c>
      <c r="H4" s="12" t="s">
        <v>53</v>
      </c>
      <c r="I4" s="12"/>
      <c r="J4" s="12">
        <v>0.39</v>
      </c>
      <c r="K4" s="12"/>
      <c r="L4" s="12"/>
      <c r="M4" s="12"/>
      <c r="N4" s="12"/>
      <c r="O4" s="13">
        <v>582.18826376292282</v>
      </c>
      <c r="P4" s="13">
        <v>227.05342286753989</v>
      </c>
      <c r="Q4" s="14"/>
    </row>
    <row r="5" spans="1:18" hidden="1" outlineLevel="1" x14ac:dyDescent="0.25">
      <c r="A5" s="8">
        <v>45</v>
      </c>
      <c r="B5" s="9" t="s">
        <v>27</v>
      </c>
      <c r="C5" s="10"/>
      <c r="D5" s="15" t="s">
        <v>83</v>
      </c>
      <c r="E5" s="10" t="s">
        <v>14</v>
      </c>
      <c r="F5" s="12">
        <v>0</v>
      </c>
      <c r="G5" s="12">
        <v>0</v>
      </c>
      <c r="H5" s="12" t="s">
        <v>15</v>
      </c>
      <c r="I5" s="12">
        <v>3</v>
      </c>
      <c r="J5" s="12"/>
      <c r="K5" s="12">
        <v>41.50333333333333</v>
      </c>
      <c r="L5" s="12">
        <v>4.9349999999999996</v>
      </c>
      <c r="M5" s="34">
        <f>IF(1-(K5/L5)&gt;0,1-(K5/L5),1-(K5/L5))</f>
        <v>-7.4099966227625806</v>
      </c>
      <c r="N5" s="35">
        <f>IF(1-(K5/I5)&gt;0,1-(K5/I5),1-(K5/I5))</f>
        <v>-12.834444444444443</v>
      </c>
      <c r="O5" s="27">
        <v>109.30396720251801</v>
      </c>
      <c r="P5" s="27">
        <v>327.911901607554</v>
      </c>
      <c r="Q5" s="14"/>
    </row>
    <row r="6" spans="1:18" hidden="1" x14ac:dyDescent="0.25">
      <c r="A6" s="8">
        <v>8</v>
      </c>
      <c r="B6" s="9" t="s">
        <v>12</v>
      </c>
      <c r="C6" s="10"/>
      <c r="D6" s="11" t="s">
        <v>23</v>
      </c>
      <c r="E6" s="10" t="s">
        <v>14</v>
      </c>
      <c r="F6" s="12">
        <v>1269</v>
      </c>
      <c r="G6" s="12">
        <v>21.15</v>
      </c>
      <c r="H6" s="12" t="s">
        <v>15</v>
      </c>
      <c r="I6" s="43">
        <v>16</v>
      </c>
      <c r="J6" s="12"/>
      <c r="K6" s="39"/>
      <c r="L6" s="12">
        <v>161.54</v>
      </c>
      <c r="M6" s="12"/>
      <c r="N6" s="12"/>
      <c r="O6" s="13">
        <v>78.971481374160192</v>
      </c>
      <c r="P6" s="13">
        <v>1263.5437019865631</v>
      </c>
      <c r="Q6" s="14"/>
    </row>
    <row r="7" spans="1:18" x14ac:dyDescent="0.25">
      <c r="A7" s="8">
        <v>35</v>
      </c>
      <c r="B7" s="9" t="s">
        <v>69</v>
      </c>
      <c r="C7" s="10"/>
      <c r="D7" s="15" t="s">
        <v>70</v>
      </c>
      <c r="E7" s="10" t="s">
        <v>14</v>
      </c>
      <c r="F7" s="12">
        <v>152.28</v>
      </c>
      <c r="G7" s="12">
        <v>2.5379999999999998</v>
      </c>
      <c r="H7" s="12" t="s">
        <v>53</v>
      </c>
      <c r="I7" s="12"/>
      <c r="J7" s="12">
        <v>7.5</v>
      </c>
      <c r="K7" s="12">
        <v>39.089509803921572</v>
      </c>
      <c r="L7" s="12">
        <v>31.572542372881355</v>
      </c>
      <c r="M7" s="34">
        <f>IF(1-(K7/L7)&gt;0,1-(K7/L7),1-(K7/L7))</f>
        <v>-0.23808559165944065</v>
      </c>
      <c r="N7" s="35">
        <f>IF(1-(K7/J7)&gt;0,1-(K7/J7),1-(K7/J7))</f>
        <v>-4.2119346405228759</v>
      </c>
      <c r="O7" s="27">
        <v>756.87675793211383</v>
      </c>
      <c r="P7" s="27">
        <v>5676.5756844908537</v>
      </c>
      <c r="Q7" s="32">
        <v>6510.45</v>
      </c>
      <c r="R7" t="s">
        <v>166</v>
      </c>
    </row>
    <row r="8" spans="1:18" hidden="1" x14ac:dyDescent="0.25">
      <c r="A8" s="8">
        <v>10</v>
      </c>
      <c r="B8" s="9" t="s">
        <v>12</v>
      </c>
      <c r="C8" s="10"/>
      <c r="D8" s="11" t="s">
        <v>25</v>
      </c>
      <c r="E8" s="10" t="s">
        <v>14</v>
      </c>
      <c r="F8" s="12">
        <v>0</v>
      </c>
      <c r="G8" s="12">
        <v>0</v>
      </c>
      <c r="H8" s="12" t="s">
        <v>15</v>
      </c>
      <c r="I8" s="12">
        <v>30</v>
      </c>
      <c r="J8" s="12"/>
      <c r="K8" s="12">
        <v>23.416470588235288</v>
      </c>
      <c r="L8" s="12"/>
      <c r="M8" s="34"/>
      <c r="N8" s="35">
        <f>IF(1-(K8/I8)&gt;0,1-(K8/I8),1-(K8/I8))</f>
        <v>0.21945098039215705</v>
      </c>
      <c r="O8" s="13">
        <v>78.971481374160192</v>
      </c>
      <c r="P8" s="13">
        <v>2369.1444412248056</v>
      </c>
      <c r="Q8" s="14"/>
    </row>
    <row r="9" spans="1:18" hidden="1" x14ac:dyDescent="0.25">
      <c r="A9" s="8">
        <v>11</v>
      </c>
      <c r="B9" s="9" t="s">
        <v>12</v>
      </c>
      <c r="C9" s="10"/>
      <c r="D9" s="11" t="s">
        <v>26</v>
      </c>
      <c r="E9" s="10" t="s">
        <v>14</v>
      </c>
      <c r="F9" s="12">
        <v>0</v>
      </c>
      <c r="G9" s="12">
        <v>0</v>
      </c>
      <c r="H9" s="12" t="s">
        <v>15</v>
      </c>
      <c r="I9" s="12">
        <v>60</v>
      </c>
      <c r="J9" s="12"/>
      <c r="K9" s="12">
        <v>23.925000000000001</v>
      </c>
      <c r="L9" s="12"/>
      <c r="M9" s="34"/>
      <c r="N9" s="35">
        <f>IF(1-(K9/I9)&gt;0,1-(K9/I9),1-(K9/I9))</f>
        <v>0.60125000000000006</v>
      </c>
      <c r="O9" s="13">
        <v>78.971481374160192</v>
      </c>
      <c r="P9" s="13">
        <v>4738.2888824496113</v>
      </c>
      <c r="Q9" s="14"/>
    </row>
    <row r="10" spans="1:18" hidden="1" x14ac:dyDescent="0.25">
      <c r="A10" s="8">
        <v>29</v>
      </c>
      <c r="B10" s="9" t="s">
        <v>59</v>
      </c>
      <c r="C10" s="16"/>
      <c r="D10" s="15" t="s">
        <v>60</v>
      </c>
      <c r="E10" s="10" t="s">
        <v>14</v>
      </c>
      <c r="F10" s="12">
        <v>1260</v>
      </c>
      <c r="G10" s="12">
        <v>21</v>
      </c>
      <c r="H10" s="12" t="s">
        <v>53</v>
      </c>
      <c r="I10" s="12"/>
      <c r="J10" s="12">
        <v>0.85</v>
      </c>
      <c r="K10" s="12"/>
      <c r="L10" s="12"/>
      <c r="M10" s="12"/>
      <c r="N10" s="12"/>
      <c r="O10" s="27">
        <v>610.01395278520931</v>
      </c>
      <c r="P10" s="27">
        <v>518.51185986742792</v>
      </c>
      <c r="Q10" s="14"/>
    </row>
    <row r="11" spans="1:18" hidden="1" x14ac:dyDescent="0.25">
      <c r="A11" s="8">
        <v>31</v>
      </c>
      <c r="B11" s="9" t="s">
        <v>62</v>
      </c>
      <c r="C11" s="10"/>
      <c r="D11" s="15" t="s">
        <v>63</v>
      </c>
      <c r="E11" s="10" t="s">
        <v>14</v>
      </c>
      <c r="F11" s="12">
        <v>268</v>
      </c>
      <c r="G11" s="12">
        <v>4.4666666666666668</v>
      </c>
      <c r="H11" s="12" t="s">
        <v>53</v>
      </c>
      <c r="I11" s="12"/>
      <c r="J11" s="12">
        <v>0.4</v>
      </c>
      <c r="K11" s="12"/>
      <c r="L11" s="12"/>
      <c r="M11" s="12"/>
      <c r="N11" s="12"/>
      <c r="O11" s="27">
        <v>584.10957688375902</v>
      </c>
      <c r="P11" s="27">
        <v>233.64383075350361</v>
      </c>
      <c r="Q11" s="14"/>
    </row>
    <row r="12" spans="1:18" hidden="1" x14ac:dyDescent="0.25">
      <c r="A12" s="8">
        <v>32</v>
      </c>
      <c r="B12" s="9" t="s">
        <v>62</v>
      </c>
      <c r="C12" s="10"/>
      <c r="D12" s="28" t="s">
        <v>64</v>
      </c>
      <c r="E12" s="24" t="s">
        <v>14</v>
      </c>
      <c r="F12" s="29">
        <v>332</v>
      </c>
      <c r="G12" s="12">
        <v>5.5333333333333332</v>
      </c>
      <c r="H12" s="12" t="s">
        <v>53</v>
      </c>
      <c r="I12" s="29"/>
      <c r="J12" s="29">
        <v>0.4</v>
      </c>
      <c r="K12" s="12"/>
      <c r="L12" s="12"/>
      <c r="M12" s="12"/>
      <c r="N12" s="12"/>
      <c r="O12" s="27">
        <v>584.10957688375902</v>
      </c>
      <c r="P12" s="27">
        <v>233.64383075350361</v>
      </c>
      <c r="Q12" s="14"/>
    </row>
    <row r="13" spans="1:18" hidden="1" x14ac:dyDescent="0.25">
      <c r="A13" s="8">
        <v>30</v>
      </c>
      <c r="B13" s="9" t="s">
        <v>59</v>
      </c>
      <c r="C13" s="10"/>
      <c r="D13" s="15" t="s">
        <v>61</v>
      </c>
      <c r="E13" s="10" t="s">
        <v>14</v>
      </c>
      <c r="F13" s="12">
        <v>172</v>
      </c>
      <c r="G13" s="12">
        <v>2.8666666666666667</v>
      </c>
      <c r="H13" s="12" t="s">
        <v>53</v>
      </c>
      <c r="I13" s="12"/>
      <c r="J13" s="12">
        <v>0.9</v>
      </c>
      <c r="K13" s="12"/>
      <c r="L13" s="12"/>
      <c r="M13" s="12"/>
      <c r="N13" s="12"/>
      <c r="O13" s="27">
        <v>610.01395278520931</v>
      </c>
      <c r="P13" s="27">
        <v>549.01255750668838</v>
      </c>
      <c r="Q13" s="14"/>
    </row>
    <row r="14" spans="1:18" hidden="1" x14ac:dyDescent="0.25">
      <c r="A14" s="8">
        <v>13</v>
      </c>
      <c r="B14" s="9" t="s">
        <v>27</v>
      </c>
      <c r="C14" s="10"/>
      <c r="D14" s="15" t="s">
        <v>29</v>
      </c>
      <c r="E14" s="10" t="s">
        <v>14</v>
      </c>
      <c r="F14" s="12">
        <v>2163.1499999999987</v>
      </c>
      <c r="G14" s="12">
        <v>36.052499999999981</v>
      </c>
      <c r="H14" s="12" t="s">
        <v>15</v>
      </c>
      <c r="I14" s="12">
        <v>4.5</v>
      </c>
      <c r="J14" s="12"/>
      <c r="K14" s="12"/>
      <c r="L14" s="12">
        <v>26.905483870967736</v>
      </c>
      <c r="M14" s="12"/>
      <c r="N14" s="12"/>
      <c r="O14" s="13">
        <v>109.30396720251801</v>
      </c>
      <c r="P14" s="13">
        <v>491.86785241133106</v>
      </c>
      <c r="Q14" s="14"/>
    </row>
    <row r="15" spans="1:18" hidden="1" x14ac:dyDescent="0.25">
      <c r="A15" s="8">
        <v>50</v>
      </c>
      <c r="B15" s="9" t="s">
        <v>88</v>
      </c>
      <c r="C15" s="10"/>
      <c r="D15" s="36" t="s">
        <v>89</v>
      </c>
      <c r="E15" s="37" t="s">
        <v>14</v>
      </c>
      <c r="F15" s="38">
        <v>1269</v>
      </c>
      <c r="G15" s="38">
        <v>21.15</v>
      </c>
      <c r="H15" s="38" t="s">
        <v>15</v>
      </c>
      <c r="I15" s="38">
        <v>9</v>
      </c>
      <c r="J15" s="38"/>
      <c r="K15" s="38">
        <v>26.022947368421054</v>
      </c>
      <c r="L15" s="12">
        <v>30.974927536231885</v>
      </c>
      <c r="M15" s="34">
        <f>IF(1-(K15/L15)&gt;0,1-(K15/L15),-1-(K15/L15))</f>
        <v>0.15987059734097575</v>
      </c>
      <c r="N15" s="35">
        <f>IF(1-(K15/I15)&gt;0,1-(K15/I15),1-(K15/I15))</f>
        <v>-1.8914385964912284</v>
      </c>
      <c r="O15" s="27">
        <v>127.55458436863684</v>
      </c>
      <c r="P15" s="27">
        <v>1147.9912593177316</v>
      </c>
      <c r="Q15" s="14"/>
      <c r="R15" t="s">
        <v>165</v>
      </c>
    </row>
    <row r="16" spans="1:18" hidden="1" x14ac:dyDescent="0.25">
      <c r="A16" s="8">
        <v>46</v>
      </c>
      <c r="B16" s="9" t="s">
        <v>27</v>
      </c>
      <c r="C16" s="10"/>
      <c r="D16" s="15" t="s">
        <v>84</v>
      </c>
      <c r="E16" s="10" t="s">
        <v>14</v>
      </c>
      <c r="F16" s="12">
        <v>0</v>
      </c>
      <c r="G16" s="12">
        <v>0</v>
      </c>
      <c r="H16" s="12" t="s">
        <v>15</v>
      </c>
      <c r="I16" s="12">
        <v>4.8000000000000007</v>
      </c>
      <c r="J16" s="12"/>
      <c r="K16" s="12"/>
      <c r="L16" s="12"/>
      <c r="M16" s="12"/>
      <c r="N16" s="12"/>
      <c r="O16" s="27">
        <v>109.30396720251801</v>
      </c>
      <c r="P16" s="27">
        <v>524.65904257208649</v>
      </c>
      <c r="Q16" s="14"/>
    </row>
    <row r="17" spans="1:18" hidden="1" x14ac:dyDescent="0.25">
      <c r="A17" s="8">
        <v>6</v>
      </c>
      <c r="B17" s="9" t="s">
        <v>20</v>
      </c>
      <c r="C17" s="10"/>
      <c r="D17" s="42" t="s">
        <v>21</v>
      </c>
      <c r="E17" s="10" t="s">
        <v>14</v>
      </c>
      <c r="F17" s="12">
        <v>13626</v>
      </c>
      <c r="G17" s="12">
        <v>227.1</v>
      </c>
      <c r="H17" s="12" t="s">
        <v>15</v>
      </c>
      <c r="I17" s="41">
        <v>2.8</v>
      </c>
      <c r="J17" s="12"/>
      <c r="K17" s="41">
        <v>6.691627906976743</v>
      </c>
      <c r="L17" s="12">
        <v>5.1050000000000004</v>
      </c>
      <c r="M17" s="34">
        <f>IF(1-(K17/L17)&gt;0,1-(K17/L17),1-(K17/L17))</f>
        <v>-0.31079880645969493</v>
      </c>
      <c r="N17" s="35">
        <f>IF(1-(K17/I17)&gt;0,1-(K17/I17),1-(K17/I17))</f>
        <v>-1.3898671096345514</v>
      </c>
      <c r="O17" s="13">
        <v>93.191803957449409</v>
      </c>
      <c r="P17" s="13">
        <v>260.93705108085834</v>
      </c>
      <c r="Q17" s="14"/>
      <c r="R17" t="s">
        <v>161</v>
      </c>
    </row>
    <row r="18" spans="1:18" hidden="1" x14ac:dyDescent="0.25">
      <c r="A18" s="8">
        <v>25</v>
      </c>
      <c r="B18" s="23" t="s">
        <v>51</v>
      </c>
      <c r="C18" s="24"/>
      <c r="D18" s="15" t="s">
        <v>52</v>
      </c>
      <c r="E18" s="10" t="s">
        <v>14</v>
      </c>
      <c r="F18" s="12">
        <v>8592</v>
      </c>
      <c r="G18" s="12">
        <v>143.19999999999999</v>
      </c>
      <c r="H18" s="12" t="s">
        <v>53</v>
      </c>
      <c r="I18" s="12"/>
      <c r="J18" s="12">
        <v>0.37</v>
      </c>
      <c r="K18" s="12"/>
      <c r="L18" s="12"/>
      <c r="M18" s="12"/>
      <c r="N18" s="12"/>
      <c r="O18" s="26">
        <v>586.7018213694198</v>
      </c>
      <c r="P18" s="26">
        <v>217.07967390668531</v>
      </c>
      <c r="Q18" s="14"/>
    </row>
    <row r="19" spans="1:18" hidden="1" x14ac:dyDescent="0.25">
      <c r="A19" s="8">
        <v>47</v>
      </c>
      <c r="B19" s="9" t="s">
        <v>27</v>
      </c>
      <c r="C19" s="10"/>
      <c r="D19" s="15" t="s">
        <v>85</v>
      </c>
      <c r="E19" s="10" t="s">
        <v>14</v>
      </c>
      <c r="F19" s="12">
        <v>0</v>
      </c>
      <c r="G19" s="12">
        <v>0</v>
      </c>
      <c r="H19" s="12" t="s">
        <v>15</v>
      </c>
      <c r="I19" s="12">
        <v>12</v>
      </c>
      <c r="J19" s="12"/>
      <c r="K19" s="12"/>
      <c r="L19" s="12"/>
      <c r="M19" s="12"/>
      <c r="N19" s="12"/>
      <c r="O19" s="27">
        <v>109.30396720251801</v>
      </c>
      <c r="P19" s="27">
        <v>1311.647606430216</v>
      </c>
      <c r="Q19" s="14"/>
    </row>
    <row r="20" spans="1:18" hidden="1" x14ac:dyDescent="0.25">
      <c r="A20" s="8">
        <v>52</v>
      </c>
      <c r="B20" s="9" t="s">
        <v>27</v>
      </c>
      <c r="C20" s="10"/>
      <c r="D20" s="15" t="s">
        <v>91</v>
      </c>
      <c r="E20" s="10" t="s">
        <v>14</v>
      </c>
      <c r="F20" s="12">
        <v>0</v>
      </c>
      <c r="G20" s="12">
        <v>0</v>
      </c>
      <c r="H20" s="12" t="s">
        <v>15</v>
      </c>
      <c r="I20" s="12">
        <v>7.5</v>
      </c>
      <c r="J20" s="12"/>
      <c r="K20" s="12"/>
      <c r="L20" s="12"/>
      <c r="M20" s="12"/>
      <c r="N20" s="12"/>
      <c r="O20" s="27">
        <v>109.30396720251801</v>
      </c>
      <c r="P20" s="27">
        <v>819.77975401888511</v>
      </c>
      <c r="Q20" s="14"/>
    </row>
    <row r="21" spans="1:18" hidden="1" x14ac:dyDescent="0.25">
      <c r="A21" s="8">
        <v>43</v>
      </c>
      <c r="B21" s="9" t="s">
        <v>42</v>
      </c>
      <c r="C21" s="10"/>
      <c r="D21" s="15" t="s">
        <v>81</v>
      </c>
      <c r="E21" s="10" t="s">
        <v>14</v>
      </c>
      <c r="F21" s="12">
        <v>0</v>
      </c>
      <c r="G21" s="12">
        <v>0</v>
      </c>
      <c r="H21" s="12" t="s">
        <v>41</v>
      </c>
      <c r="I21" s="12">
        <v>8.8000000000000007</v>
      </c>
      <c r="J21" s="12"/>
      <c r="K21" s="12">
        <v>18.276869565217392</v>
      </c>
      <c r="L21" s="12">
        <v>24.091250000000002</v>
      </c>
      <c r="M21" s="34">
        <f>IF(1-(K21/L21)&gt;0,1-(K21/L21),-1-(K21/L21))</f>
        <v>0.24134822538401324</v>
      </c>
      <c r="N21" s="35">
        <f>IF(1-(K21/I21)&gt;0,1-(K21/I21),1-(K21/I21))</f>
        <v>-1.076916996047431</v>
      </c>
      <c r="O21" s="27">
        <v>103.25099588592198</v>
      </c>
      <c r="P21" s="27">
        <v>908.60876379611352</v>
      </c>
      <c r="Q21" s="14"/>
      <c r="R21" t="s">
        <v>168</v>
      </c>
    </row>
    <row r="22" spans="1:18" hidden="1" x14ac:dyDescent="0.25">
      <c r="A22" s="8">
        <v>26</v>
      </c>
      <c r="B22" s="23" t="s">
        <v>51</v>
      </c>
      <c r="C22" s="24"/>
      <c r="D22" s="15" t="s">
        <v>54</v>
      </c>
      <c r="E22" s="10" t="s">
        <v>14</v>
      </c>
      <c r="F22" s="12">
        <v>0</v>
      </c>
      <c r="G22" s="12">
        <v>0</v>
      </c>
      <c r="H22" s="12" t="s">
        <v>53</v>
      </c>
      <c r="I22" s="12"/>
      <c r="J22" s="12">
        <v>0.37</v>
      </c>
      <c r="K22" s="12"/>
      <c r="L22" s="12"/>
      <c r="M22" s="12"/>
      <c r="N22" s="12"/>
      <c r="O22" s="26">
        <v>586.7018213694198</v>
      </c>
      <c r="P22" s="26">
        <v>217.07967390668531</v>
      </c>
      <c r="Q22" s="14"/>
    </row>
    <row r="23" spans="1:18" hidden="1" x14ac:dyDescent="0.25">
      <c r="A23" s="8">
        <v>44</v>
      </c>
      <c r="B23" s="9" t="s">
        <v>42</v>
      </c>
      <c r="C23" s="10"/>
      <c r="D23" s="15" t="s">
        <v>82</v>
      </c>
      <c r="E23" s="10" t="s">
        <v>14</v>
      </c>
      <c r="F23" s="12">
        <v>0</v>
      </c>
      <c r="G23" s="12">
        <v>0</v>
      </c>
      <c r="H23" s="12" t="s">
        <v>41</v>
      </c>
      <c r="I23" s="12">
        <v>13.2</v>
      </c>
      <c r="J23" s="12"/>
      <c r="K23" s="12">
        <v>25.621111111111116</v>
      </c>
      <c r="L23" s="12">
        <v>59.364285714285707</v>
      </c>
      <c r="M23" s="34">
        <f>IF(1-(K23/L23)&gt;0,1-(K23/L23),-1-(K23/L23))</f>
        <v>0.56840866856508765</v>
      </c>
      <c r="N23" s="35">
        <f>IF(1-(K23/I23)&gt;0,1-(K23/I23),1-(K23/I23))</f>
        <v>-0.94099326599326649</v>
      </c>
      <c r="O23" s="27">
        <v>103.25099588592198</v>
      </c>
      <c r="P23" s="27">
        <v>1362.91314569417</v>
      </c>
      <c r="Q23" s="14"/>
      <c r="R23" t="s">
        <v>168</v>
      </c>
    </row>
    <row r="24" spans="1:18" hidden="1" x14ac:dyDescent="0.25">
      <c r="A24" s="8">
        <v>14</v>
      </c>
      <c r="B24" s="9" t="s">
        <v>27</v>
      </c>
      <c r="C24" s="10"/>
      <c r="D24" s="36" t="s">
        <v>30</v>
      </c>
      <c r="E24" s="37" t="s">
        <v>14</v>
      </c>
      <c r="F24" s="38">
        <v>0</v>
      </c>
      <c r="G24" s="38">
        <v>0</v>
      </c>
      <c r="H24" s="38" t="s">
        <v>15</v>
      </c>
      <c r="I24" s="38">
        <v>9.75</v>
      </c>
      <c r="J24" s="38"/>
      <c r="K24" s="38">
        <v>18.758723404255317</v>
      </c>
      <c r="L24" s="12">
        <v>27.745952380952378</v>
      </c>
      <c r="M24" s="34">
        <f>IF(1-(K24/L24)&gt;0,1-(K24/L24),-1-(K24/L24))</f>
        <v>0.32391135302556062</v>
      </c>
      <c r="N24" s="35">
        <f>IF(1-(K24/I24)&gt;0,1-(K24/I24),1-(K24/I24))</f>
        <v>-0.9239716312056736</v>
      </c>
      <c r="O24" s="13">
        <v>109.30396720251801</v>
      </c>
      <c r="P24" s="13">
        <v>1065.7136802245507</v>
      </c>
      <c r="Q24" s="32">
        <v>1438.71</v>
      </c>
      <c r="R24" t="s">
        <v>163</v>
      </c>
    </row>
    <row r="25" spans="1:18" hidden="1" x14ac:dyDescent="0.25">
      <c r="A25" s="8">
        <v>53</v>
      </c>
      <c r="B25" s="9"/>
      <c r="C25" s="10"/>
      <c r="D25" s="15" t="s">
        <v>151</v>
      </c>
      <c r="E25" s="10" t="s">
        <v>14</v>
      </c>
      <c r="F25" s="30"/>
      <c r="G25" s="31"/>
      <c r="H25" s="12" t="s">
        <v>15</v>
      </c>
      <c r="I25" s="31"/>
      <c r="J25" s="31"/>
      <c r="K25" s="12"/>
      <c r="L25" s="12"/>
      <c r="M25" s="12"/>
      <c r="N25" s="12"/>
      <c r="O25" s="27">
        <v>0</v>
      </c>
      <c r="P25" s="27">
        <v>0</v>
      </c>
      <c r="Q25" s="32">
        <v>1188.8</v>
      </c>
    </row>
    <row r="26" spans="1:18" hidden="1" x14ac:dyDescent="0.25">
      <c r="A26" s="8">
        <v>41</v>
      </c>
      <c r="B26" s="9" t="s">
        <v>20</v>
      </c>
      <c r="C26" s="10"/>
      <c r="D26" s="42" t="s">
        <v>79</v>
      </c>
      <c r="E26" s="10" t="s">
        <v>14</v>
      </c>
      <c r="F26" s="12">
        <v>0</v>
      </c>
      <c r="G26" s="12">
        <v>0</v>
      </c>
      <c r="H26" s="12" t="s">
        <v>15</v>
      </c>
      <c r="I26" s="41">
        <v>1.8</v>
      </c>
      <c r="J26" s="12"/>
      <c r="K26" s="41">
        <v>3.3111111111111118</v>
      </c>
      <c r="L26" s="12">
        <v>4.2833333333333341</v>
      </c>
      <c r="M26" s="34">
        <f>IF(1-(K26/L26)&gt;0,1-(K26/L26),-1-(K26/L26))</f>
        <v>0.22697795071335924</v>
      </c>
      <c r="N26" s="35">
        <f>IF(1-(K26/I26)&gt;0,1-(K26/I26),1-(K26/I26))</f>
        <v>-0.83950617283950657</v>
      </c>
      <c r="O26" s="13">
        <v>93.191803957449409</v>
      </c>
      <c r="P26" s="13">
        <v>167.74524712340894</v>
      </c>
      <c r="Q26" s="14"/>
      <c r="R26" t="s">
        <v>160</v>
      </c>
    </row>
    <row r="27" spans="1:18" hidden="1" x14ac:dyDescent="0.25">
      <c r="A27" s="8">
        <v>48</v>
      </c>
      <c r="B27" s="9" t="s">
        <v>20</v>
      </c>
      <c r="C27" s="10"/>
      <c r="D27" s="42" t="s">
        <v>86</v>
      </c>
      <c r="E27" s="10" t="s">
        <v>14</v>
      </c>
      <c r="F27" s="12">
        <v>0</v>
      </c>
      <c r="G27" s="12">
        <v>0</v>
      </c>
      <c r="H27" s="12" t="s">
        <v>15</v>
      </c>
      <c r="I27" s="41">
        <v>2.2000000000000002</v>
      </c>
      <c r="J27" s="12"/>
      <c r="K27" s="41">
        <v>4.016</v>
      </c>
      <c r="L27" s="12">
        <v>8.1440909090909095</v>
      </c>
      <c r="M27" s="34">
        <f>IF(1-(K27/L27)&gt;0,1-(K27/L27),-1-(K27/L27))</f>
        <v>0.50688173243288492</v>
      </c>
      <c r="N27" s="35">
        <f>IF(1-(K27/I27)&gt;0,1-(K27/I27),1-(K27/I27))</f>
        <v>-0.82545454545454522</v>
      </c>
      <c r="O27" s="27">
        <v>93.191803957449409</v>
      </c>
      <c r="P27" s="27">
        <v>205.02196870638872</v>
      </c>
      <c r="Q27" s="14"/>
      <c r="R27" t="s">
        <v>160</v>
      </c>
    </row>
    <row r="28" spans="1:18" x14ac:dyDescent="0.25">
      <c r="A28" s="8">
        <v>15</v>
      </c>
      <c r="B28" s="9" t="s">
        <v>31</v>
      </c>
      <c r="C28" s="10"/>
      <c r="D28" s="36" t="s">
        <v>32</v>
      </c>
      <c r="E28" s="37" t="s">
        <v>14</v>
      </c>
      <c r="F28" s="38">
        <v>1269</v>
      </c>
      <c r="G28" s="38">
        <v>21.15</v>
      </c>
      <c r="H28" s="38" t="s">
        <v>15</v>
      </c>
      <c r="I28" s="38">
        <v>10.5</v>
      </c>
      <c r="J28" s="38"/>
      <c r="K28" s="38">
        <v>18.276250000000001</v>
      </c>
      <c r="L28" s="12">
        <v>31.349999999999998</v>
      </c>
      <c r="M28" s="34">
        <f>IF(1-(K28/L28)&gt;0,1-(K28/L28),-1-(K28/L28))</f>
        <v>0.41702551834130774</v>
      </c>
      <c r="N28" s="35">
        <f>IF(1-(K28/I28)&gt;0,1-(K28/I28),1-(K28/I28))</f>
        <v>-0.74059523809523808</v>
      </c>
      <c r="O28" s="13">
        <v>95.161606445099892</v>
      </c>
      <c r="P28" s="13">
        <v>999.19686767354892</v>
      </c>
      <c r="Q28" s="14"/>
      <c r="R28" t="s">
        <v>157</v>
      </c>
    </row>
    <row r="29" spans="1:18" hidden="1" x14ac:dyDescent="0.25">
      <c r="A29" s="8">
        <v>40</v>
      </c>
      <c r="B29" s="9" t="s">
        <v>39</v>
      </c>
      <c r="C29" s="10"/>
      <c r="D29" s="15" t="s">
        <v>78</v>
      </c>
      <c r="E29" s="10" t="s">
        <v>14</v>
      </c>
      <c r="F29" s="12">
        <v>0</v>
      </c>
      <c r="G29" s="12">
        <v>0</v>
      </c>
      <c r="H29" s="12" t="s">
        <v>41</v>
      </c>
      <c r="I29" s="17">
        <v>38.5</v>
      </c>
      <c r="J29" s="17"/>
      <c r="K29" s="12">
        <v>7.125</v>
      </c>
      <c r="L29" s="12"/>
      <c r="M29" s="34"/>
      <c r="N29" s="35">
        <f>IF(1-(K29/I29)&gt;0,1-(K29/I29),1-(K29/I29))</f>
        <v>0.81493506493506496</v>
      </c>
      <c r="O29" s="13">
        <v>108.29867359862671</v>
      </c>
      <c r="P29" s="13">
        <v>4169.4989335471282</v>
      </c>
      <c r="Q29" s="14"/>
    </row>
    <row r="30" spans="1:18" hidden="1" x14ac:dyDescent="0.25">
      <c r="A30" s="8">
        <v>36</v>
      </c>
      <c r="B30" s="9" t="s">
        <v>71</v>
      </c>
      <c r="C30" s="10"/>
      <c r="D30" s="15" t="s">
        <v>72</v>
      </c>
      <c r="E30" s="10" t="s">
        <v>14</v>
      </c>
      <c r="F30" s="12">
        <v>24</v>
      </c>
      <c r="G30" s="12">
        <v>0.4</v>
      </c>
      <c r="H30" s="12" t="s">
        <v>53</v>
      </c>
      <c r="I30" s="12"/>
      <c r="J30" s="12">
        <v>0.55000000000000004</v>
      </c>
      <c r="K30" s="12"/>
      <c r="L30" s="12"/>
      <c r="M30" s="12"/>
      <c r="N30" s="12"/>
      <c r="O30" s="27">
        <v>948.30944292048605</v>
      </c>
      <c r="P30" s="27">
        <v>521.57019360626737</v>
      </c>
      <c r="Q30" s="14"/>
    </row>
    <row r="31" spans="1:18" hidden="1" x14ac:dyDescent="0.25">
      <c r="A31" s="8">
        <v>37</v>
      </c>
      <c r="B31" s="9" t="s">
        <v>71</v>
      </c>
      <c r="C31" s="10"/>
      <c r="D31" s="15" t="s">
        <v>73</v>
      </c>
      <c r="E31" s="10" t="s">
        <v>14</v>
      </c>
      <c r="F31" s="12">
        <v>24</v>
      </c>
      <c r="G31" s="12">
        <v>0.4</v>
      </c>
      <c r="H31" s="12" t="s">
        <v>53</v>
      </c>
      <c r="I31" s="12"/>
      <c r="J31" s="12">
        <v>0.45</v>
      </c>
      <c r="K31" s="12"/>
      <c r="L31" s="12"/>
      <c r="M31" s="12"/>
      <c r="N31" s="12"/>
      <c r="O31" s="27">
        <v>948.30944292048605</v>
      </c>
      <c r="P31" s="27">
        <v>426.73924931421874</v>
      </c>
      <c r="Q31" s="14"/>
    </row>
    <row r="32" spans="1:18" hidden="1" x14ac:dyDescent="0.25">
      <c r="A32" s="8">
        <v>12</v>
      </c>
      <c r="B32" s="9" t="s">
        <v>27</v>
      </c>
      <c r="C32" s="10"/>
      <c r="D32" s="36" t="s">
        <v>28</v>
      </c>
      <c r="E32" s="37" t="s">
        <v>14</v>
      </c>
      <c r="F32" s="38">
        <v>1269</v>
      </c>
      <c r="G32" s="38">
        <v>21.15</v>
      </c>
      <c r="H32" s="38" t="s">
        <v>15</v>
      </c>
      <c r="I32" s="38">
        <v>4.25</v>
      </c>
      <c r="J32" s="38"/>
      <c r="K32" s="38">
        <v>6.373448275862069</v>
      </c>
      <c r="L32" s="12">
        <v>19.096666666666668</v>
      </c>
      <c r="M32" s="34">
        <f>IF(1-(K32/L32)&gt;0,1-(K32/L32),-1-(K32/L32))</f>
        <v>0.66625336310724026</v>
      </c>
      <c r="N32" s="35">
        <f>IF(1-(K32/I32)&gt;0,1-(K32/I32),1-(K32/I32))</f>
        <v>-0.49963488843813386</v>
      </c>
      <c r="O32" s="13">
        <v>109.30396720251801</v>
      </c>
      <c r="P32" s="13">
        <v>464.54186061070152</v>
      </c>
      <c r="Q32" s="14"/>
      <c r="R32" t="s">
        <v>159</v>
      </c>
    </row>
    <row r="33" spans="1:18" hidden="1" x14ac:dyDescent="0.25">
      <c r="A33" s="8">
        <v>22</v>
      </c>
      <c r="B33" s="9" t="s">
        <v>46</v>
      </c>
      <c r="C33" s="10"/>
      <c r="D33" s="15" t="s">
        <v>47</v>
      </c>
      <c r="E33" s="10" t="s">
        <v>14</v>
      </c>
      <c r="F33" s="12">
        <v>0</v>
      </c>
      <c r="G33" s="12">
        <v>0</v>
      </c>
      <c r="H33" s="12" t="s">
        <v>41</v>
      </c>
      <c r="I33" s="12">
        <v>3.7</v>
      </c>
      <c r="J33" s="12">
        <v>0.498</v>
      </c>
      <c r="K33" s="12"/>
      <c r="L33" s="12"/>
      <c r="M33" s="12"/>
      <c r="N33" s="12"/>
      <c r="O33" s="13">
        <v>285.08988002786208</v>
      </c>
      <c r="P33" s="13">
        <v>1054.8325561030897</v>
      </c>
      <c r="Q33" s="14"/>
    </row>
    <row r="34" spans="1:18" hidden="1" x14ac:dyDescent="0.25">
      <c r="A34" s="8">
        <v>24</v>
      </c>
      <c r="B34" s="23" t="s">
        <v>49</v>
      </c>
      <c r="C34" s="24"/>
      <c r="D34" s="18" t="s">
        <v>50</v>
      </c>
      <c r="E34" s="19" t="s">
        <v>14</v>
      </c>
      <c r="F34" s="20">
        <v>0</v>
      </c>
      <c r="G34" s="20">
        <v>0</v>
      </c>
      <c r="H34" s="20" t="s">
        <v>41</v>
      </c>
      <c r="I34" s="20">
        <v>0</v>
      </c>
      <c r="J34" s="20">
        <v>0</v>
      </c>
      <c r="K34" s="12"/>
      <c r="L34" s="12"/>
      <c r="M34" s="12"/>
      <c r="N34" s="12"/>
      <c r="O34" s="25">
        <v>0</v>
      </c>
      <c r="P34" s="25">
        <v>0</v>
      </c>
      <c r="Q34" s="22"/>
    </row>
    <row r="35" spans="1:18" hidden="1" x14ac:dyDescent="0.25">
      <c r="A35" s="8">
        <v>78</v>
      </c>
      <c r="B35" s="9" t="s">
        <v>118</v>
      </c>
      <c r="C35" s="10"/>
      <c r="D35" s="28" t="s">
        <v>119</v>
      </c>
      <c r="E35" s="10" t="s">
        <v>120</v>
      </c>
      <c r="F35" s="30">
        <v>0</v>
      </c>
      <c r="G35" s="31">
        <v>0</v>
      </c>
      <c r="H35" s="12" t="s">
        <v>53</v>
      </c>
      <c r="I35" s="31"/>
      <c r="J35" s="31">
        <v>1</v>
      </c>
      <c r="K35" s="12"/>
      <c r="L35" s="12"/>
      <c r="M35" s="12"/>
      <c r="N35" s="12"/>
      <c r="O35" s="27">
        <v>15.648040223349399</v>
      </c>
      <c r="P35" s="27">
        <v>15.648040223349399</v>
      </c>
      <c r="Q35" s="14"/>
    </row>
    <row r="36" spans="1:18" hidden="1" x14ac:dyDescent="0.25">
      <c r="A36" s="8">
        <v>79</v>
      </c>
      <c r="B36" s="9" t="s">
        <v>121</v>
      </c>
      <c r="C36" s="10"/>
      <c r="D36" s="15" t="s">
        <v>122</v>
      </c>
      <c r="E36" s="10" t="s">
        <v>120</v>
      </c>
      <c r="F36" s="30">
        <v>0</v>
      </c>
      <c r="G36" s="31">
        <v>0</v>
      </c>
      <c r="H36" s="12" t="s">
        <v>53</v>
      </c>
      <c r="I36" s="31"/>
      <c r="J36" s="31">
        <v>1</v>
      </c>
      <c r="K36" s="12"/>
      <c r="L36" s="12"/>
      <c r="M36" s="12"/>
      <c r="N36" s="12"/>
      <c r="O36" s="27">
        <v>2.9923122240560192</v>
      </c>
      <c r="P36" s="27">
        <v>2.9923122240560192</v>
      </c>
      <c r="Q36" s="14"/>
    </row>
    <row r="37" spans="1:18" hidden="1" x14ac:dyDescent="0.25">
      <c r="A37" s="8">
        <v>91</v>
      </c>
      <c r="B37" s="9" t="s">
        <v>145</v>
      </c>
      <c r="C37" s="10"/>
      <c r="D37" s="15" t="s">
        <v>146</v>
      </c>
      <c r="E37" s="10" t="s">
        <v>120</v>
      </c>
      <c r="F37" s="30">
        <v>0</v>
      </c>
      <c r="G37" s="31">
        <v>0</v>
      </c>
      <c r="H37" s="12" t="s">
        <v>53</v>
      </c>
      <c r="I37" s="31"/>
      <c r="J37" s="31">
        <v>1</v>
      </c>
      <c r="K37" s="12"/>
      <c r="L37" s="12"/>
      <c r="M37" s="12"/>
      <c r="N37" s="12"/>
      <c r="O37" s="27">
        <v>10.494352720334101</v>
      </c>
      <c r="P37" s="27">
        <v>10.494352720334101</v>
      </c>
      <c r="Q37" s="14"/>
    </row>
    <row r="38" spans="1:18" hidden="1" x14ac:dyDescent="0.25">
      <c r="A38" s="8">
        <v>16</v>
      </c>
      <c r="B38" s="9" t="s">
        <v>33</v>
      </c>
      <c r="C38" s="10"/>
      <c r="D38" s="36" t="s">
        <v>34</v>
      </c>
      <c r="E38" s="37" t="s">
        <v>14</v>
      </c>
      <c r="F38" s="38">
        <v>2195.37</v>
      </c>
      <c r="G38" s="38">
        <v>36.589500000000001</v>
      </c>
      <c r="H38" s="38" t="s">
        <v>15</v>
      </c>
      <c r="I38" s="38">
        <v>12.5</v>
      </c>
      <c r="J38" s="38"/>
      <c r="K38" s="38">
        <v>17.915714285714287</v>
      </c>
      <c r="L38" s="12">
        <v>29.536625000000008</v>
      </c>
      <c r="M38" s="34">
        <f>IF(1-(K38/L38)&gt;0,1-(K38/L38),-1-(K38/L38))</f>
        <v>0.39344071011111514</v>
      </c>
      <c r="N38" s="35">
        <f>IF(1-(K38/I38)&gt;0,1-(K38/I38),1-(K38/I38))</f>
        <v>-0.43325714285714301</v>
      </c>
      <c r="O38" s="13">
        <v>109.01820036587912</v>
      </c>
      <c r="P38" s="13">
        <v>1362.7275045734891</v>
      </c>
      <c r="Q38" s="14"/>
      <c r="R38" t="s">
        <v>164</v>
      </c>
    </row>
    <row r="39" spans="1:18" hidden="1" x14ac:dyDescent="0.25">
      <c r="A39" s="8">
        <v>17</v>
      </c>
      <c r="B39" s="9" t="s">
        <v>35</v>
      </c>
      <c r="C39" s="10"/>
      <c r="D39" s="15" t="s">
        <v>36</v>
      </c>
      <c r="E39" s="10" t="s">
        <v>14</v>
      </c>
      <c r="F39" s="12">
        <v>0</v>
      </c>
      <c r="G39" s="12">
        <v>0</v>
      </c>
      <c r="H39" s="12" t="s">
        <v>15</v>
      </c>
      <c r="I39" s="12">
        <v>7</v>
      </c>
      <c r="J39" s="12"/>
      <c r="K39" s="12">
        <v>55.007499999999993</v>
      </c>
      <c r="L39" s="12"/>
      <c r="M39" s="34"/>
      <c r="N39" s="35">
        <f>IF(1-(K39/I39)&gt;0,1-(K39/I39),1-(K39/I39))</f>
        <v>-6.8582142857142845</v>
      </c>
      <c r="O39" s="13">
        <v>127.09668382071327</v>
      </c>
      <c r="P39" s="13">
        <v>889.67678674499291</v>
      </c>
      <c r="Q39" s="14"/>
    </row>
    <row r="40" spans="1:18" hidden="1" x14ac:dyDescent="0.25">
      <c r="A40" s="8">
        <v>21</v>
      </c>
      <c r="B40" s="9" t="s">
        <v>44</v>
      </c>
      <c r="C40" s="10"/>
      <c r="D40" s="15" t="s">
        <v>45</v>
      </c>
      <c r="E40" s="10" t="s">
        <v>14</v>
      </c>
      <c r="F40" s="12">
        <v>0</v>
      </c>
      <c r="G40" s="12">
        <v>0</v>
      </c>
      <c r="H40" s="12" t="s">
        <v>41</v>
      </c>
      <c r="I40" s="12">
        <v>8</v>
      </c>
      <c r="J40" s="12">
        <v>0.67</v>
      </c>
      <c r="K40" s="12"/>
      <c r="L40" s="12"/>
      <c r="M40" s="12"/>
      <c r="N40" s="12"/>
      <c r="O40" s="13">
        <v>256.93237354302067</v>
      </c>
      <c r="P40" s="13">
        <v>2055.4589883441654</v>
      </c>
      <c r="Q40" s="14"/>
    </row>
    <row r="41" spans="1:18" hidden="1" x14ac:dyDescent="0.25">
      <c r="A41" s="8">
        <v>49</v>
      </c>
      <c r="B41" s="9" t="s">
        <v>20</v>
      </c>
      <c r="C41" s="10"/>
      <c r="D41" s="42" t="s">
        <v>87</v>
      </c>
      <c r="E41" s="10" t="s">
        <v>14</v>
      </c>
      <c r="F41" s="12">
        <v>0</v>
      </c>
      <c r="G41" s="12">
        <v>0</v>
      </c>
      <c r="H41" s="12" t="s">
        <v>15</v>
      </c>
      <c r="I41" s="41">
        <v>2.5</v>
      </c>
      <c r="J41" s="12"/>
      <c r="K41" s="41">
        <v>3.4283333333333332</v>
      </c>
      <c r="L41" s="12">
        <v>12.659615384615382</v>
      </c>
      <c r="M41" s="34">
        <f>IF(1-(K41/L41)&gt;0,1-(K41/L41),-1-(K41/L41))</f>
        <v>0.72919135146083347</v>
      </c>
      <c r="N41" s="35">
        <f>IF(1-(K41/I41)&gt;0,1-(K41/I41),1-(K41/I41))</f>
        <v>-0.37133333333333329</v>
      </c>
      <c r="O41" s="27">
        <v>93.191803957449409</v>
      </c>
      <c r="P41" s="27">
        <v>232.97950989362351</v>
      </c>
      <c r="Q41" s="14"/>
      <c r="R41" t="s">
        <v>161</v>
      </c>
    </row>
    <row r="42" spans="1:18" hidden="1" x14ac:dyDescent="0.25">
      <c r="A42" s="8">
        <v>39</v>
      </c>
      <c r="B42" s="9" t="s">
        <v>76</v>
      </c>
      <c r="C42" s="10"/>
      <c r="D42" s="28" t="s">
        <v>77</v>
      </c>
      <c r="E42" s="24" t="s">
        <v>14</v>
      </c>
      <c r="F42" s="29">
        <v>228.41999999999996</v>
      </c>
      <c r="G42" s="12">
        <v>3.8069999999999995</v>
      </c>
      <c r="H42" s="12" t="s">
        <v>53</v>
      </c>
      <c r="I42" s="29"/>
      <c r="J42" s="29">
        <v>1.35</v>
      </c>
      <c r="K42" s="12"/>
      <c r="L42" s="12"/>
      <c r="M42" s="12"/>
      <c r="N42" s="12"/>
      <c r="O42" s="27">
        <v>1080.3549544744435</v>
      </c>
      <c r="P42" s="27">
        <v>1458.4791885404989</v>
      </c>
      <c r="Q42" s="14"/>
    </row>
    <row r="43" spans="1:18" hidden="1" x14ac:dyDescent="0.25">
      <c r="A43" s="8">
        <v>18</v>
      </c>
      <c r="B43" s="9" t="s">
        <v>37</v>
      </c>
      <c r="C43" s="10"/>
      <c r="D43" s="15" t="s">
        <v>38</v>
      </c>
      <c r="E43" s="10" t="s">
        <v>14</v>
      </c>
      <c r="F43" s="12">
        <v>545.67000000000007</v>
      </c>
      <c r="G43" s="12">
        <v>9.0945000000000018</v>
      </c>
      <c r="H43" s="12" t="s">
        <v>15</v>
      </c>
      <c r="I43" s="12">
        <v>4.8</v>
      </c>
      <c r="J43" s="12"/>
      <c r="K43" s="12"/>
      <c r="L43" s="12">
        <v>32</v>
      </c>
      <c r="M43" s="12"/>
      <c r="N43" s="12"/>
      <c r="O43" s="13">
        <v>169.81924392428343</v>
      </c>
      <c r="P43" s="13">
        <v>815.13237083656043</v>
      </c>
      <c r="Q43" s="14"/>
    </row>
    <row r="44" spans="1:18" hidden="1" x14ac:dyDescent="0.25">
      <c r="A44" s="8">
        <v>51</v>
      </c>
      <c r="B44" s="9" t="s">
        <v>37</v>
      </c>
      <c r="C44" s="10"/>
      <c r="D44" s="15" t="s">
        <v>90</v>
      </c>
      <c r="E44" s="10" t="s">
        <v>14</v>
      </c>
      <c r="F44" s="12">
        <v>0</v>
      </c>
      <c r="G44" s="12">
        <v>0</v>
      </c>
      <c r="H44" s="12" t="s">
        <v>15</v>
      </c>
      <c r="I44" s="12">
        <v>3.7</v>
      </c>
      <c r="J44" s="12"/>
      <c r="K44" s="12">
        <v>13.286666666666667</v>
      </c>
      <c r="L44" s="12"/>
      <c r="M44" s="34"/>
      <c r="N44" s="35">
        <f>IF(1-(K44/I44)&gt;0,1-(K44/I44),1-(K44/I44))</f>
        <v>-2.5909909909909907</v>
      </c>
      <c r="O44" s="27">
        <v>169.81924392428343</v>
      </c>
      <c r="P44" s="27">
        <v>628.33120251984872</v>
      </c>
      <c r="Q44" s="14"/>
    </row>
    <row r="45" spans="1:18" hidden="1" x14ac:dyDescent="0.25">
      <c r="A45" s="8">
        <v>23</v>
      </c>
      <c r="B45" s="9" t="s">
        <v>37</v>
      </c>
      <c r="C45" s="10"/>
      <c r="D45" s="18" t="s">
        <v>48</v>
      </c>
      <c r="E45" s="19" t="s">
        <v>14</v>
      </c>
      <c r="F45" s="20">
        <v>0</v>
      </c>
      <c r="G45" s="20">
        <v>0</v>
      </c>
      <c r="H45" s="20" t="s">
        <v>41</v>
      </c>
      <c r="I45" s="20">
        <v>0</v>
      </c>
      <c r="J45" s="20">
        <v>0</v>
      </c>
      <c r="K45" s="12"/>
      <c r="L45" s="12"/>
      <c r="M45" s="12"/>
      <c r="N45" s="12"/>
      <c r="O45" s="21">
        <v>169.81924392428343</v>
      </c>
      <c r="P45" s="21">
        <v>0</v>
      </c>
      <c r="Q45" s="22"/>
    </row>
    <row r="46" spans="1:18" hidden="1" x14ac:dyDescent="0.25">
      <c r="A46" s="8">
        <v>1</v>
      </c>
      <c r="B46" s="9" t="s">
        <v>12</v>
      </c>
      <c r="C46" s="10"/>
      <c r="D46" s="11" t="s">
        <v>13</v>
      </c>
      <c r="E46" s="10" t="s">
        <v>14</v>
      </c>
      <c r="F46" s="12">
        <v>0</v>
      </c>
      <c r="G46" s="12">
        <v>0</v>
      </c>
      <c r="H46" s="12" t="s">
        <v>15</v>
      </c>
      <c r="I46" s="12">
        <v>12</v>
      </c>
      <c r="J46" s="12"/>
      <c r="K46" s="12">
        <v>21.82</v>
      </c>
      <c r="L46" s="12"/>
      <c r="M46" s="34"/>
      <c r="N46" s="35">
        <f>IF(1-(K46/I46)&gt;0,1-(K46/I46),1-(K46/I46))</f>
        <v>-0.81833333333333336</v>
      </c>
      <c r="O46" s="13">
        <v>78.971481374160192</v>
      </c>
      <c r="P46" s="13">
        <v>947.6577764899223</v>
      </c>
      <c r="Q46" s="14"/>
    </row>
    <row r="47" spans="1:18" hidden="1" x14ac:dyDescent="0.25">
      <c r="A47" s="8">
        <v>7</v>
      </c>
      <c r="B47" s="9" t="s">
        <v>12</v>
      </c>
      <c r="C47" s="10"/>
      <c r="D47" s="11" t="s">
        <v>22</v>
      </c>
      <c r="E47" s="10" t="s">
        <v>14</v>
      </c>
      <c r="F47" s="12">
        <v>0</v>
      </c>
      <c r="G47" s="12">
        <v>0</v>
      </c>
      <c r="H47" s="12" t="s">
        <v>15</v>
      </c>
      <c r="I47" s="41">
        <v>12</v>
      </c>
      <c r="J47" s="12"/>
      <c r="K47" s="41">
        <v>12.885</v>
      </c>
      <c r="L47" s="12">
        <v>187.70000000000002</v>
      </c>
      <c r="M47" s="34">
        <f>IF(1-(K47/L47)&gt;0,1-(K47/L47),-1-(K47/L47))</f>
        <v>0.93135322322855618</v>
      </c>
      <c r="N47" s="35">
        <f>IF(1-(K47/I47)&gt;0,1-(K47/I47),1-(K47/I47))</f>
        <v>-7.3749999999999982E-2</v>
      </c>
      <c r="O47" s="13">
        <v>78.971481374160192</v>
      </c>
      <c r="P47" s="13">
        <v>947.6577764899223</v>
      </c>
      <c r="Q47" s="14"/>
      <c r="R47" t="s">
        <v>158</v>
      </c>
    </row>
    <row r="48" spans="1:18" hidden="1" x14ac:dyDescent="0.25">
      <c r="A48" s="8">
        <v>69</v>
      </c>
      <c r="B48" s="9" t="s">
        <v>100</v>
      </c>
      <c r="C48" s="10"/>
      <c r="D48" s="15" t="s">
        <v>101</v>
      </c>
      <c r="E48" s="10" t="s">
        <v>93</v>
      </c>
      <c r="F48" s="30">
        <v>0</v>
      </c>
      <c r="G48" s="31">
        <v>0</v>
      </c>
      <c r="H48" s="12" t="s">
        <v>53</v>
      </c>
      <c r="I48" s="31"/>
      <c r="J48" s="31">
        <v>5.9840000000000009</v>
      </c>
      <c r="K48" s="12">
        <v>5.86</v>
      </c>
      <c r="L48" s="12">
        <v>15.765000000000001</v>
      </c>
      <c r="M48" s="34">
        <f>IF(1-(K48/L48)&gt;0,1-(K48/L48),-1-(K48/L48))</f>
        <v>0.62829051696796701</v>
      </c>
      <c r="N48" s="35">
        <f>IF(1-(K48/J48)&gt;0,1-(K48/J48),1-(K48/J48))</f>
        <v>2.0721925133689978E-2</v>
      </c>
      <c r="O48" s="27">
        <v>778.75340735173381</v>
      </c>
      <c r="P48" s="27">
        <v>4660.0603895927761</v>
      </c>
      <c r="Q48" s="14"/>
      <c r="R48" t="s">
        <v>166</v>
      </c>
    </row>
    <row r="49" spans="1:18" hidden="1" x14ac:dyDescent="0.25">
      <c r="A49" s="8">
        <v>4</v>
      </c>
      <c r="B49" s="9" t="s">
        <v>12</v>
      </c>
      <c r="C49" s="10"/>
      <c r="D49" s="11" t="s">
        <v>18</v>
      </c>
      <c r="E49" s="10" t="s">
        <v>14</v>
      </c>
      <c r="F49" s="12">
        <v>0</v>
      </c>
      <c r="G49" s="12">
        <v>0</v>
      </c>
      <c r="H49" s="12" t="s">
        <v>15</v>
      </c>
      <c r="I49" s="12">
        <v>30</v>
      </c>
      <c r="J49" s="12"/>
      <c r="K49" s="12">
        <v>17.841250000000002</v>
      </c>
      <c r="L49" s="12"/>
      <c r="M49" s="34"/>
      <c r="N49" s="35">
        <f>IF(1-(K49/I49)&gt;0,1-(K49/I49),1-(K49/I49))</f>
        <v>0.40529166666666661</v>
      </c>
      <c r="O49" s="13">
        <v>78.971481374160192</v>
      </c>
      <c r="P49" s="13">
        <v>2369.1444412248056</v>
      </c>
      <c r="Q49" s="14"/>
    </row>
    <row r="50" spans="1:18" hidden="1" x14ac:dyDescent="0.25">
      <c r="A50" s="8">
        <v>5</v>
      </c>
      <c r="B50" s="9" t="s">
        <v>12</v>
      </c>
      <c r="C50" s="10"/>
      <c r="D50" s="11" t="s">
        <v>19</v>
      </c>
      <c r="E50" s="10" t="s">
        <v>14</v>
      </c>
      <c r="F50" s="12">
        <v>0</v>
      </c>
      <c r="G50" s="12">
        <v>0</v>
      </c>
      <c r="H50" s="12" t="s">
        <v>15</v>
      </c>
      <c r="I50" s="12">
        <v>60</v>
      </c>
      <c r="J50" s="12"/>
      <c r="K50" s="12">
        <v>36.626666666666665</v>
      </c>
      <c r="L50" s="12"/>
      <c r="M50" s="34"/>
      <c r="N50" s="35">
        <f>IF(1-(K50/I50)&gt;0,1-(K50/I50),1-(K50/I50))</f>
        <v>0.38955555555555554</v>
      </c>
      <c r="O50" s="13">
        <v>78.971481374160192</v>
      </c>
      <c r="P50" s="13">
        <v>4738.2888824496113</v>
      </c>
      <c r="Q50" s="14"/>
    </row>
    <row r="51" spans="1:18" hidden="1" x14ac:dyDescent="0.25">
      <c r="A51" s="8">
        <v>33</v>
      </c>
      <c r="B51" s="9" t="s">
        <v>65</v>
      </c>
      <c r="C51" s="10"/>
      <c r="D51" s="28" t="s">
        <v>66</v>
      </c>
      <c r="E51" s="24" t="s">
        <v>14</v>
      </c>
      <c r="F51" s="29">
        <v>120</v>
      </c>
      <c r="G51" s="12">
        <v>2</v>
      </c>
      <c r="H51" s="12" t="s">
        <v>53</v>
      </c>
      <c r="I51" s="29"/>
      <c r="J51" s="29">
        <v>1.35</v>
      </c>
      <c r="K51" s="12"/>
      <c r="L51" s="12"/>
      <c r="M51" s="12"/>
      <c r="N51" s="12"/>
      <c r="O51" s="27">
        <v>430.8131064615913</v>
      </c>
      <c r="P51" s="27">
        <v>581.59769372314827</v>
      </c>
      <c r="Q51" s="14"/>
    </row>
    <row r="52" spans="1:18" hidden="1" x14ac:dyDescent="0.25">
      <c r="A52" s="8">
        <v>3</v>
      </c>
      <c r="B52" s="9" t="s">
        <v>12</v>
      </c>
      <c r="C52" s="10"/>
      <c r="D52" s="11" t="s">
        <v>17</v>
      </c>
      <c r="E52" s="10" t="s">
        <v>14</v>
      </c>
      <c r="F52" s="12">
        <v>0</v>
      </c>
      <c r="G52" s="12">
        <v>0</v>
      </c>
      <c r="H52" s="12" t="s">
        <v>15</v>
      </c>
      <c r="I52" s="41">
        <v>20</v>
      </c>
      <c r="J52" s="12"/>
      <c r="K52" s="41">
        <v>19.191627906976738</v>
      </c>
      <c r="L52" s="12">
        <v>16.900588235294123</v>
      </c>
      <c r="M52" s="34">
        <f>IF(1-(K52/L52)&gt;0,1-(K52/L52),1-(K52/L52))</f>
        <v>-0.13555975920992802</v>
      </c>
      <c r="N52" s="35">
        <f>IF(1-(K52/I52)&gt;0,1-(K52/I52),1-(K52/I52))</f>
        <v>4.0418604651163093E-2</v>
      </c>
      <c r="O52" s="13">
        <v>78.971481374160192</v>
      </c>
      <c r="P52" s="13">
        <v>1579.4296274832038</v>
      </c>
      <c r="Q52" s="14"/>
      <c r="R52" t="s">
        <v>167</v>
      </c>
    </row>
    <row r="53" spans="1:18" hidden="1" x14ac:dyDescent="0.25">
      <c r="A53" s="8">
        <v>20</v>
      </c>
      <c r="B53" s="9" t="s">
        <v>42</v>
      </c>
      <c r="C53" s="10"/>
      <c r="D53" s="15" t="s">
        <v>43</v>
      </c>
      <c r="E53" s="10" t="s">
        <v>14</v>
      </c>
      <c r="F53" s="12">
        <v>784</v>
      </c>
      <c r="G53" s="12">
        <v>13.066666666666666</v>
      </c>
      <c r="H53" s="12" t="s">
        <v>41</v>
      </c>
      <c r="I53" s="12">
        <v>22</v>
      </c>
      <c r="J53" s="12"/>
      <c r="K53" s="12">
        <v>18</v>
      </c>
      <c r="L53" s="12">
        <v>34.386666666666663</v>
      </c>
      <c r="M53" s="34">
        <f>IF(1-(K53/L53)&gt;0,1-(K53/L53),-1-(K53/L53))</f>
        <v>0.4765412950756106</v>
      </c>
      <c r="N53" s="35">
        <f>IF(1-(K53/I53)&gt;0,1-(K53/I53),1-(K53/I53))</f>
        <v>0.18181818181818177</v>
      </c>
      <c r="O53" s="13">
        <v>103.25099588592198</v>
      </c>
      <c r="P53" s="13">
        <v>2271.5219094902836</v>
      </c>
      <c r="Q53" s="14"/>
      <c r="R53" t="s">
        <v>168</v>
      </c>
    </row>
    <row r="54" spans="1:18" hidden="1" x14ac:dyDescent="0.25">
      <c r="A54" s="8">
        <v>65</v>
      </c>
      <c r="B54" s="9" t="s">
        <v>12</v>
      </c>
      <c r="C54" s="10"/>
      <c r="D54" s="15" t="s">
        <v>92</v>
      </c>
      <c r="E54" s="10" t="s">
        <v>93</v>
      </c>
      <c r="F54" s="30">
        <v>0</v>
      </c>
      <c r="G54" s="31">
        <v>0</v>
      </c>
      <c r="H54" s="31" t="s">
        <v>15</v>
      </c>
      <c r="I54" s="31">
        <v>7.4879200000000008</v>
      </c>
      <c r="J54" s="31"/>
      <c r="K54" s="12">
        <v>5.8283999999999994</v>
      </c>
      <c r="L54" s="12">
        <v>7.3591666666666669</v>
      </c>
      <c r="M54" s="34">
        <f>IF(1-(K54/L54)&gt;0,1-(K54/L54),-1-(K54/L54))</f>
        <v>0.20800815309704457</v>
      </c>
      <c r="N54" s="35">
        <f>IF(1-(K54/I54)&gt;0,1-(K54/I54),1-(K54/I54))</f>
        <v>0.2216262994262761</v>
      </c>
      <c r="O54" s="27">
        <v>78.971481374160192</v>
      </c>
      <c r="P54" s="27">
        <v>591.33213481120163</v>
      </c>
      <c r="Q54" s="14"/>
    </row>
    <row r="55" spans="1:18" x14ac:dyDescent="0.25">
      <c r="A55" s="8">
        <v>38</v>
      </c>
      <c r="B55" s="9" t="s">
        <v>74</v>
      </c>
      <c r="C55" s="10"/>
      <c r="D55" s="15" t="s">
        <v>75</v>
      </c>
      <c r="E55" s="10" t="s">
        <v>14</v>
      </c>
      <c r="F55" s="12">
        <v>24</v>
      </c>
      <c r="G55" s="12">
        <v>0.4</v>
      </c>
      <c r="H55" s="12" t="s">
        <v>15</v>
      </c>
      <c r="I55" s="12">
        <v>8</v>
      </c>
      <c r="J55" s="12"/>
      <c r="K55" s="12"/>
      <c r="L55" s="12"/>
      <c r="M55" s="12"/>
      <c r="N55" s="12"/>
      <c r="O55" s="27">
        <v>93.18688667144184</v>
      </c>
      <c r="P55" s="27">
        <v>745.49509337153472</v>
      </c>
      <c r="Q55" s="14"/>
    </row>
    <row r="56" spans="1:18" hidden="1" x14ac:dyDescent="0.25">
      <c r="A56" s="8">
        <v>2</v>
      </c>
      <c r="B56" s="9" t="s">
        <v>12</v>
      </c>
      <c r="C56" s="10"/>
      <c r="D56" s="11" t="s">
        <v>16</v>
      </c>
      <c r="E56" s="10" t="s">
        <v>14</v>
      </c>
      <c r="F56" s="12">
        <v>812</v>
      </c>
      <c r="G56" s="12">
        <v>13.533333333333333</v>
      </c>
      <c r="H56" s="12" t="s">
        <v>15</v>
      </c>
      <c r="I56" s="41">
        <v>16</v>
      </c>
      <c r="J56" s="12"/>
      <c r="K56" s="41">
        <v>10.913333333333334</v>
      </c>
      <c r="L56" s="12">
        <v>10.58</v>
      </c>
      <c r="M56" s="34">
        <f>IF(1-(K56/L56)&gt;0,1-(K56/L56),1-(K56/L56))</f>
        <v>-3.1505986137366104E-2</v>
      </c>
      <c r="N56" s="35">
        <f>IF(1-(K56/I56)&gt;0,1-(K56/I56),1-(K56/I56))</f>
        <v>0.31791666666666663</v>
      </c>
      <c r="O56" s="13">
        <v>78.971481374160192</v>
      </c>
      <c r="P56" s="13">
        <v>1263.5437019865631</v>
      </c>
      <c r="Q56" s="14"/>
      <c r="R56" t="s">
        <v>167</v>
      </c>
    </row>
    <row r="57" spans="1:18" hidden="1" x14ac:dyDescent="0.25">
      <c r="A57" s="8">
        <v>73</v>
      </c>
      <c r="B57" s="9" t="s">
        <v>108</v>
      </c>
      <c r="C57" s="10"/>
      <c r="D57" s="15" t="s">
        <v>109</v>
      </c>
      <c r="E57" s="10" t="s">
        <v>93</v>
      </c>
      <c r="F57" s="30">
        <v>0</v>
      </c>
      <c r="G57" s="31">
        <v>0</v>
      </c>
      <c r="H57" s="12" t="s">
        <v>53</v>
      </c>
      <c r="I57" s="31"/>
      <c r="J57" s="31">
        <v>5.9840000000000009</v>
      </c>
      <c r="K57" s="12"/>
      <c r="L57" s="12"/>
      <c r="M57" s="12"/>
      <c r="N57" s="12"/>
      <c r="O57" s="27">
        <v>464.270893642099</v>
      </c>
      <c r="P57" s="27">
        <v>2778.1970275543208</v>
      </c>
      <c r="Q57" s="14"/>
    </row>
    <row r="58" spans="1:18" hidden="1" x14ac:dyDescent="0.25">
      <c r="A58" s="8">
        <v>87</v>
      </c>
      <c r="B58" s="9" t="s">
        <v>137</v>
      </c>
      <c r="C58" s="10"/>
      <c r="D58" s="15" t="s">
        <v>138</v>
      </c>
      <c r="E58" s="10" t="s">
        <v>93</v>
      </c>
      <c r="F58" s="30">
        <v>0</v>
      </c>
      <c r="G58" s="31">
        <v>0</v>
      </c>
      <c r="H58" s="12" t="s">
        <v>53</v>
      </c>
      <c r="I58" s="31"/>
      <c r="J58" s="31">
        <v>5.9840000000000009</v>
      </c>
      <c r="K58" s="12"/>
      <c r="L58" s="12"/>
      <c r="M58" s="12"/>
      <c r="N58" s="12"/>
      <c r="O58" s="27">
        <v>332.0969659183645</v>
      </c>
      <c r="P58" s="27">
        <v>1987.2682440554934</v>
      </c>
      <c r="Q58" s="14"/>
    </row>
    <row r="59" spans="1:18" hidden="1" x14ac:dyDescent="0.25">
      <c r="A59" s="8">
        <v>88</v>
      </c>
      <c r="B59" s="9" t="s">
        <v>139</v>
      </c>
      <c r="C59" s="10"/>
      <c r="D59" s="15" t="s">
        <v>140</v>
      </c>
      <c r="E59" s="10" t="s">
        <v>93</v>
      </c>
      <c r="F59" s="30">
        <v>0</v>
      </c>
      <c r="G59" s="31">
        <v>0</v>
      </c>
      <c r="H59" s="12" t="s">
        <v>53</v>
      </c>
      <c r="I59" s="31"/>
      <c r="J59" s="31">
        <v>5.9840000000000009</v>
      </c>
      <c r="K59" s="12">
        <v>7.5</v>
      </c>
      <c r="L59" s="12"/>
      <c r="M59" s="34"/>
      <c r="N59" s="35" t="e">
        <f>IF(1-(K59/I59)&gt;0,1-(K59/I59),1-(K59/I59))</f>
        <v>#DIV/0!</v>
      </c>
      <c r="O59" s="27">
        <v>358.80297755861</v>
      </c>
      <c r="P59" s="27">
        <v>2147.0770177107224</v>
      </c>
      <c r="Q59" s="14"/>
    </row>
    <row r="60" spans="1:18" hidden="1" x14ac:dyDescent="0.25">
      <c r="A60" s="8">
        <v>74</v>
      </c>
      <c r="B60" s="9" t="s">
        <v>110</v>
      </c>
      <c r="C60" s="10"/>
      <c r="D60" s="15" t="s">
        <v>111</v>
      </c>
      <c r="E60" s="10" t="s">
        <v>93</v>
      </c>
      <c r="F60" s="30">
        <v>0</v>
      </c>
      <c r="G60" s="31">
        <v>0</v>
      </c>
      <c r="H60" s="12" t="s">
        <v>53</v>
      </c>
      <c r="I60" s="31"/>
      <c r="J60" s="31">
        <v>5.9840000000000009</v>
      </c>
      <c r="K60" s="12">
        <v>8.5</v>
      </c>
      <c r="L60" s="12"/>
      <c r="M60" s="34"/>
      <c r="N60" s="35" t="e">
        <f>IF(1-(K60/I60)&gt;0,1-(K60/I60),1-(K60/I60))</f>
        <v>#DIV/0!</v>
      </c>
      <c r="O60" s="27">
        <v>490.97690528234443</v>
      </c>
      <c r="P60" s="27">
        <v>2938.0058012095496</v>
      </c>
      <c r="Q60" s="14"/>
    </row>
    <row r="61" spans="1:18" hidden="1" x14ac:dyDescent="0.25">
      <c r="A61" s="8">
        <v>76</v>
      </c>
      <c r="B61" s="9" t="s">
        <v>114</v>
      </c>
      <c r="C61" s="10"/>
      <c r="D61" s="15" t="s">
        <v>115</v>
      </c>
      <c r="E61" s="10" t="s">
        <v>93</v>
      </c>
      <c r="F61" s="30">
        <v>0</v>
      </c>
      <c r="G61" s="31">
        <v>0</v>
      </c>
      <c r="H61" s="12" t="s">
        <v>53</v>
      </c>
      <c r="I61" s="31"/>
      <c r="J61" s="31">
        <v>5.9840000000000009</v>
      </c>
      <c r="K61" s="12"/>
      <c r="L61" s="12"/>
      <c r="M61" s="12"/>
      <c r="N61" s="12"/>
      <c r="O61" s="27">
        <v>490.97690528234443</v>
      </c>
      <c r="P61" s="27">
        <v>2938.0058012095496</v>
      </c>
      <c r="Q61" s="14"/>
    </row>
    <row r="62" spans="1:18" hidden="1" x14ac:dyDescent="0.25">
      <c r="A62" s="8">
        <v>90</v>
      </c>
      <c r="B62" s="9" t="s">
        <v>143</v>
      </c>
      <c r="C62" s="10"/>
      <c r="D62" s="15" t="s">
        <v>144</v>
      </c>
      <c r="E62" s="10" t="s">
        <v>93</v>
      </c>
      <c r="F62" s="30">
        <v>0</v>
      </c>
      <c r="G62" s="31">
        <v>0</v>
      </c>
      <c r="H62" s="12" t="s">
        <v>53</v>
      </c>
      <c r="I62" s="31"/>
      <c r="J62" s="31">
        <v>5.9840000000000009</v>
      </c>
      <c r="K62" s="12"/>
      <c r="L62" s="12"/>
      <c r="M62" s="12"/>
      <c r="N62" s="12"/>
      <c r="O62" s="27">
        <v>456.4706772715079</v>
      </c>
      <c r="P62" s="27">
        <v>2731.5205327927038</v>
      </c>
      <c r="Q62" s="14"/>
    </row>
    <row r="63" spans="1:18" hidden="1" x14ac:dyDescent="0.25">
      <c r="A63" s="8">
        <v>71</v>
      </c>
      <c r="B63" s="9" t="s">
        <v>104</v>
      </c>
      <c r="C63" s="10"/>
      <c r="D63" s="15" t="s">
        <v>105</v>
      </c>
      <c r="E63" s="10" t="s">
        <v>93</v>
      </c>
      <c r="F63" s="30">
        <v>0</v>
      </c>
      <c r="G63" s="31">
        <v>0</v>
      </c>
      <c r="H63" s="12" t="s">
        <v>53</v>
      </c>
      <c r="I63" s="31"/>
      <c r="J63" s="31">
        <v>5.9840000000000009</v>
      </c>
      <c r="K63" s="12"/>
      <c r="L63" s="12"/>
      <c r="M63" s="12"/>
      <c r="N63" s="12"/>
      <c r="O63" s="27">
        <v>568.80585349105991</v>
      </c>
      <c r="P63" s="27">
        <v>3403.734227290503</v>
      </c>
      <c r="Q63" s="14"/>
    </row>
    <row r="64" spans="1:18" hidden="1" x14ac:dyDescent="0.25">
      <c r="A64" s="8">
        <v>85</v>
      </c>
      <c r="B64" s="9" t="s">
        <v>133</v>
      </c>
      <c r="C64" s="10"/>
      <c r="D64" s="15" t="s">
        <v>134</v>
      </c>
      <c r="E64" s="10" t="s">
        <v>93</v>
      </c>
      <c r="F64" s="30">
        <v>0</v>
      </c>
      <c r="G64" s="31">
        <v>0</v>
      </c>
      <c r="H64" s="12" t="s">
        <v>53</v>
      </c>
      <c r="I64" s="31"/>
      <c r="J64" s="31">
        <v>5.9840000000000009</v>
      </c>
      <c r="K64" s="12"/>
      <c r="L64" s="12"/>
      <c r="M64" s="12"/>
      <c r="N64" s="12"/>
      <c r="O64" s="27">
        <v>568.80585349105991</v>
      </c>
      <c r="P64" s="27">
        <v>3403.734227290503</v>
      </c>
      <c r="Q64" s="14"/>
    </row>
    <row r="65" spans="1:18" hidden="1" x14ac:dyDescent="0.25">
      <c r="A65" s="8">
        <v>70</v>
      </c>
      <c r="B65" s="9" t="s">
        <v>102</v>
      </c>
      <c r="C65" s="10"/>
      <c r="D65" s="28" t="s">
        <v>103</v>
      </c>
      <c r="E65" s="10" t="s">
        <v>93</v>
      </c>
      <c r="F65" s="30">
        <v>0</v>
      </c>
      <c r="G65" s="31">
        <v>0</v>
      </c>
      <c r="H65" s="12" t="s">
        <v>53</v>
      </c>
      <c r="I65" s="31"/>
      <c r="J65" s="31">
        <v>5.9840000000000009</v>
      </c>
      <c r="K65" s="12"/>
      <c r="L65" s="12"/>
      <c r="M65" s="12"/>
      <c r="N65" s="12"/>
      <c r="O65" s="27">
        <v>530.04398516750359</v>
      </c>
      <c r="P65" s="27">
        <v>3171.7832072423421</v>
      </c>
      <c r="Q65" s="14"/>
    </row>
    <row r="66" spans="1:18" hidden="1" x14ac:dyDescent="0.25">
      <c r="A66" s="8">
        <v>84</v>
      </c>
      <c r="B66" s="9" t="s">
        <v>131</v>
      </c>
      <c r="C66" s="10"/>
      <c r="D66" s="28" t="s">
        <v>132</v>
      </c>
      <c r="E66" s="10" t="s">
        <v>93</v>
      </c>
      <c r="F66" s="30">
        <v>0</v>
      </c>
      <c r="G66" s="31">
        <v>0</v>
      </c>
      <c r="H66" s="12" t="s">
        <v>53</v>
      </c>
      <c r="I66" s="31"/>
      <c r="J66" s="31">
        <v>5.9840000000000009</v>
      </c>
      <c r="K66" s="12">
        <v>40</v>
      </c>
      <c r="L66" s="12"/>
      <c r="M66" s="34"/>
      <c r="N66" s="35" t="e">
        <f>IF(1-(K66/I66)&gt;0,1-(K66/I66),1-(K66/I66))</f>
        <v>#DIV/0!</v>
      </c>
      <c r="O66" s="27">
        <v>358.80297755861</v>
      </c>
      <c r="P66" s="27">
        <v>2147.0770177107224</v>
      </c>
      <c r="Q66" s="14"/>
    </row>
    <row r="67" spans="1:18" hidden="1" x14ac:dyDescent="0.25">
      <c r="A67" s="8">
        <v>75</v>
      </c>
      <c r="B67" s="9" t="s">
        <v>112</v>
      </c>
      <c r="C67" s="10"/>
      <c r="D67" s="15" t="s">
        <v>113</v>
      </c>
      <c r="E67" s="10" t="s">
        <v>93</v>
      </c>
      <c r="F67" s="30">
        <v>0</v>
      </c>
      <c r="G67" s="31">
        <v>0</v>
      </c>
      <c r="H67" s="12" t="s">
        <v>53</v>
      </c>
      <c r="I67" s="31"/>
      <c r="J67" s="31">
        <v>5.9840000000000009</v>
      </c>
      <c r="K67" s="12"/>
      <c r="L67" s="12"/>
      <c r="M67" s="12"/>
      <c r="N67" s="12"/>
      <c r="O67" s="27">
        <v>539.25132357245229</v>
      </c>
      <c r="P67" s="27">
        <v>3226.8799202575551</v>
      </c>
      <c r="Q67" s="14"/>
    </row>
    <row r="68" spans="1:18" hidden="1" x14ac:dyDescent="0.25">
      <c r="A68" s="8">
        <v>89</v>
      </c>
      <c r="B68" s="9" t="s">
        <v>141</v>
      </c>
      <c r="C68" s="10"/>
      <c r="D68" s="15" t="s">
        <v>142</v>
      </c>
      <c r="E68" s="10" t="s">
        <v>93</v>
      </c>
      <c r="F68" s="30">
        <v>0</v>
      </c>
      <c r="G68" s="31">
        <v>0</v>
      </c>
      <c r="H68" s="12" t="s">
        <v>53</v>
      </c>
      <c r="I68" s="31"/>
      <c r="J68" s="31">
        <v>5.9840000000000009</v>
      </c>
      <c r="K68" s="12"/>
      <c r="L68" s="12"/>
      <c r="M68" s="12"/>
      <c r="N68" s="12"/>
      <c r="O68" s="27">
        <v>382.66047092049331</v>
      </c>
      <c r="P68" s="27">
        <v>2289.8402579882322</v>
      </c>
      <c r="Q68" s="14"/>
    </row>
    <row r="69" spans="1:18" hidden="1" x14ac:dyDescent="0.25">
      <c r="A69" s="8">
        <v>9</v>
      </c>
      <c r="B69" s="9" t="s">
        <v>12</v>
      </c>
      <c r="C69" s="16"/>
      <c r="D69" s="11" t="s">
        <v>24</v>
      </c>
      <c r="E69" s="10" t="s">
        <v>14</v>
      </c>
      <c r="F69" s="12">
        <v>0</v>
      </c>
      <c r="G69" s="12">
        <v>0</v>
      </c>
      <c r="H69" s="12" t="s">
        <v>15</v>
      </c>
      <c r="I69" s="41">
        <v>20</v>
      </c>
      <c r="J69" s="12"/>
      <c r="K69" s="41">
        <v>12.984</v>
      </c>
      <c r="L69" s="12">
        <v>45.374444444444443</v>
      </c>
      <c r="M69" s="34">
        <f>IF(1-(K69/L69)&gt;0,1-(K69/L69),-1-(K69/L69))</f>
        <v>0.71384773612165442</v>
      </c>
      <c r="N69" s="35">
        <f>IF(1-(K69/I69)&gt;0,1-(K69/I69),1-(K69/I69))</f>
        <v>0.3508</v>
      </c>
      <c r="O69" s="13">
        <v>78.971481374160192</v>
      </c>
      <c r="P69" s="13">
        <v>1579.4296274832038</v>
      </c>
      <c r="Q69" s="14"/>
      <c r="R69" t="s">
        <v>158</v>
      </c>
    </row>
    <row r="70" spans="1:18" hidden="1" x14ac:dyDescent="0.25">
      <c r="A70" s="8">
        <v>83</v>
      </c>
      <c r="B70" s="9" t="s">
        <v>129</v>
      </c>
      <c r="C70" s="10"/>
      <c r="D70" s="15" t="s">
        <v>130</v>
      </c>
      <c r="E70" s="10" t="s">
        <v>93</v>
      </c>
      <c r="F70" s="30">
        <v>0</v>
      </c>
      <c r="G70" s="31">
        <v>0</v>
      </c>
      <c r="H70" s="12" t="s">
        <v>53</v>
      </c>
      <c r="I70" s="31"/>
      <c r="J70" s="31">
        <v>5.9840000000000009</v>
      </c>
      <c r="K70" s="12"/>
      <c r="L70" s="12"/>
      <c r="M70" s="12"/>
      <c r="N70" s="12"/>
      <c r="O70" s="27">
        <v>519.52309721893573</v>
      </c>
      <c r="P70" s="27">
        <v>3108.8262137581119</v>
      </c>
      <c r="Q70" s="14"/>
    </row>
    <row r="71" spans="1:18" hidden="1" x14ac:dyDescent="0.25">
      <c r="A71" s="8">
        <v>72</v>
      </c>
      <c r="B71" s="9" t="s">
        <v>106</v>
      </c>
      <c r="C71" s="10"/>
      <c r="D71" s="15" t="s">
        <v>107</v>
      </c>
      <c r="E71" s="10" t="s">
        <v>93</v>
      </c>
      <c r="F71" s="30">
        <v>0</v>
      </c>
      <c r="G71" s="31">
        <v>0</v>
      </c>
      <c r="H71" s="12" t="s">
        <v>53</v>
      </c>
      <c r="I71" s="31"/>
      <c r="J71" s="31">
        <v>5.9840000000000009</v>
      </c>
      <c r="K71" s="12"/>
      <c r="L71" s="12"/>
      <c r="M71" s="12"/>
      <c r="N71" s="12"/>
      <c r="O71" s="27">
        <v>51.968787002492611</v>
      </c>
      <c r="P71" s="27">
        <v>310.98122142291584</v>
      </c>
      <c r="Q71" s="14"/>
    </row>
    <row r="72" spans="1:18" hidden="1" x14ac:dyDescent="0.25">
      <c r="A72" s="8">
        <v>86</v>
      </c>
      <c r="B72" s="9" t="s">
        <v>135</v>
      </c>
      <c r="C72" s="10"/>
      <c r="D72" s="15" t="s">
        <v>136</v>
      </c>
      <c r="E72" s="10" t="s">
        <v>93</v>
      </c>
      <c r="F72" s="30">
        <v>0</v>
      </c>
      <c r="G72" s="31">
        <v>0</v>
      </c>
      <c r="H72" s="12" t="s">
        <v>53</v>
      </c>
      <c r="I72" s="31"/>
      <c r="J72" s="31">
        <v>5.9840000000000009</v>
      </c>
      <c r="K72" s="12"/>
      <c r="L72" s="12"/>
      <c r="M72" s="12"/>
      <c r="N72" s="12"/>
      <c r="O72" s="27">
        <v>26.073074588380901</v>
      </c>
      <c r="P72" s="27">
        <v>156.02127833687135</v>
      </c>
      <c r="Q72" s="14"/>
    </row>
    <row r="73" spans="1:18" hidden="1" x14ac:dyDescent="0.25">
      <c r="A73" s="8">
        <v>19</v>
      </c>
      <c r="B73" s="9" t="s">
        <v>39</v>
      </c>
      <c r="C73" s="10"/>
      <c r="D73" s="36" t="s">
        <v>40</v>
      </c>
      <c r="E73" s="37" t="s">
        <v>14</v>
      </c>
      <c r="F73" s="38">
        <v>253.79999999999998</v>
      </c>
      <c r="G73" s="38">
        <v>4.2299999999999995</v>
      </c>
      <c r="H73" s="38" t="s">
        <v>41</v>
      </c>
      <c r="I73" s="40">
        <v>35.5</v>
      </c>
      <c r="J73" s="40"/>
      <c r="K73" s="38">
        <v>18.696666666666665</v>
      </c>
      <c r="L73" s="12">
        <v>66.511666666666656</v>
      </c>
      <c r="M73" s="34">
        <f>IF(1-(K73/L73)&gt;0,1-(K73/L73),-1-(K73/L73))</f>
        <v>0.71889643420953719</v>
      </c>
      <c r="N73" s="35">
        <f>IF(1-(K73/I73)&gt;0,1-(K73/I73),1-(K73/I73))</f>
        <v>0.47333333333333338</v>
      </c>
      <c r="O73" s="13">
        <v>108.29867359862671</v>
      </c>
      <c r="P73" s="13">
        <v>3844.6029127512479</v>
      </c>
      <c r="Q73" s="32">
        <v>4248.28</v>
      </c>
      <c r="R73" t="s">
        <v>162</v>
      </c>
    </row>
    <row r="74" spans="1:18" hidden="1" x14ac:dyDescent="0.25">
      <c r="A74" s="8">
        <v>77</v>
      </c>
      <c r="B74" s="9" t="s">
        <v>116</v>
      </c>
      <c r="C74" s="10"/>
      <c r="D74" s="15" t="s">
        <v>117</v>
      </c>
      <c r="E74" s="10" t="s">
        <v>93</v>
      </c>
      <c r="F74" s="30">
        <v>0</v>
      </c>
      <c r="G74" s="31">
        <v>0</v>
      </c>
      <c r="H74" s="12" t="s">
        <v>53</v>
      </c>
      <c r="I74" s="31"/>
      <c r="J74" s="31">
        <v>5.9840000000000009</v>
      </c>
      <c r="K74" s="12"/>
      <c r="L74" s="12"/>
      <c r="M74" s="12"/>
      <c r="N74" s="12"/>
      <c r="O74" s="27">
        <v>418.30563922112339</v>
      </c>
      <c r="P74" s="27">
        <v>2503.1409450992028</v>
      </c>
      <c r="Q74" s="14"/>
    </row>
    <row r="75" spans="1:18" hidden="1" x14ac:dyDescent="0.25">
      <c r="A75" s="8">
        <v>92</v>
      </c>
      <c r="B75" s="9" t="s">
        <v>147</v>
      </c>
      <c r="C75" s="10"/>
      <c r="D75" s="15" t="s">
        <v>148</v>
      </c>
      <c r="E75" s="10" t="s">
        <v>93</v>
      </c>
      <c r="F75" s="30">
        <v>0</v>
      </c>
      <c r="G75" s="31">
        <v>0</v>
      </c>
      <c r="H75" s="12" t="s">
        <v>53</v>
      </c>
      <c r="I75" s="31"/>
      <c r="J75" s="31">
        <v>5.9840000000000009</v>
      </c>
      <c r="K75" s="12"/>
      <c r="L75" s="12">
        <v>8.2536585365853661</v>
      </c>
      <c r="M75" s="12"/>
      <c r="N75" s="12"/>
      <c r="O75" s="27">
        <v>1069.7814761530672</v>
      </c>
      <c r="P75" s="27">
        <v>6401.5723532999546</v>
      </c>
      <c r="Q75" s="14"/>
    </row>
    <row r="76" spans="1:18" hidden="1" x14ac:dyDescent="0.25">
      <c r="A76" s="8">
        <v>93</v>
      </c>
      <c r="B76" s="9" t="s">
        <v>149</v>
      </c>
      <c r="C76" s="10"/>
      <c r="D76" s="15" t="s">
        <v>150</v>
      </c>
      <c r="E76" s="10" t="s">
        <v>93</v>
      </c>
      <c r="F76" s="30">
        <v>0</v>
      </c>
      <c r="G76" s="31">
        <v>0</v>
      </c>
      <c r="H76" s="12" t="s">
        <v>53</v>
      </c>
      <c r="I76" s="31"/>
      <c r="J76" s="31">
        <v>5.9840000000000009</v>
      </c>
      <c r="K76" s="12"/>
      <c r="L76" s="12"/>
      <c r="M76" s="12"/>
      <c r="N76" s="12"/>
      <c r="O76" s="27">
        <v>791.02939422376755</v>
      </c>
      <c r="P76" s="27">
        <v>4733.5198950350259</v>
      </c>
      <c r="Q76" s="14"/>
    </row>
    <row r="77" spans="1:18" hidden="1" x14ac:dyDescent="0.25">
      <c r="A77" s="8">
        <v>66</v>
      </c>
      <c r="B77" s="9" t="s">
        <v>94</v>
      </c>
      <c r="C77" s="10"/>
      <c r="D77" s="15" t="s">
        <v>95</v>
      </c>
      <c r="E77" s="10" t="s">
        <v>93</v>
      </c>
      <c r="F77" s="30">
        <v>0</v>
      </c>
      <c r="G77" s="31">
        <v>0</v>
      </c>
      <c r="H77" s="12" t="s">
        <v>53</v>
      </c>
      <c r="I77" s="31"/>
      <c r="J77" s="31">
        <v>5.9840000000000009</v>
      </c>
      <c r="K77" s="12"/>
      <c r="L77" s="12"/>
      <c r="M77" s="12"/>
      <c r="N77" s="12"/>
      <c r="O77" s="27">
        <v>436.68155944528263</v>
      </c>
      <c r="P77" s="27">
        <v>2613.1024517205715</v>
      </c>
      <c r="Q77" s="14"/>
    </row>
    <row r="78" spans="1:18" hidden="1" x14ac:dyDescent="0.25">
      <c r="A78" s="8">
        <v>80</v>
      </c>
      <c r="B78" s="9" t="s">
        <v>123</v>
      </c>
      <c r="C78" s="10"/>
      <c r="D78" s="15" t="s">
        <v>124</v>
      </c>
      <c r="E78" s="10" t="s">
        <v>93</v>
      </c>
      <c r="F78" s="30">
        <v>0</v>
      </c>
      <c r="G78" s="31">
        <v>0</v>
      </c>
      <c r="H78" s="12" t="s">
        <v>53</v>
      </c>
      <c r="I78" s="31"/>
      <c r="J78" s="31">
        <v>5.9840000000000009</v>
      </c>
      <c r="K78" s="12"/>
      <c r="L78" s="12"/>
      <c r="M78" s="12"/>
      <c r="N78" s="12"/>
      <c r="O78" s="27">
        <v>251.87456223160498</v>
      </c>
      <c r="P78" s="27">
        <v>1507.2173803939245</v>
      </c>
      <c r="Q78" s="14"/>
    </row>
    <row r="79" spans="1:18" hidden="1" x14ac:dyDescent="0.25">
      <c r="A79" s="8">
        <v>67</v>
      </c>
      <c r="B79" s="9" t="s">
        <v>96</v>
      </c>
      <c r="C79" s="10"/>
      <c r="D79" s="15" t="s">
        <v>97</v>
      </c>
      <c r="E79" s="10" t="s">
        <v>93</v>
      </c>
      <c r="F79" s="30">
        <v>0</v>
      </c>
      <c r="G79" s="31">
        <v>0</v>
      </c>
      <c r="H79" s="12" t="s">
        <v>53</v>
      </c>
      <c r="I79" s="31"/>
      <c r="J79" s="31">
        <v>5.9840000000000009</v>
      </c>
      <c r="K79" s="12"/>
      <c r="L79" s="12"/>
      <c r="M79" s="12"/>
      <c r="N79" s="12"/>
      <c r="O79" s="27">
        <v>590.73618616799831</v>
      </c>
      <c r="P79" s="27">
        <v>3534.9653380293025</v>
      </c>
      <c r="Q79" s="14"/>
    </row>
    <row r="80" spans="1:18" hidden="1" x14ac:dyDescent="0.25">
      <c r="A80" s="8">
        <v>81</v>
      </c>
      <c r="B80" s="9" t="s">
        <v>125</v>
      </c>
      <c r="C80" s="10"/>
      <c r="D80" s="15" t="s">
        <v>126</v>
      </c>
      <c r="E80" s="10" t="s">
        <v>93</v>
      </c>
      <c r="F80" s="30">
        <v>0</v>
      </c>
      <c r="G80" s="31">
        <v>0</v>
      </c>
      <c r="H80" s="12" t="s">
        <v>53</v>
      </c>
      <c r="I80" s="31"/>
      <c r="J80" s="31">
        <v>5.9840000000000009</v>
      </c>
      <c r="K80" s="12"/>
      <c r="L80" s="12"/>
      <c r="M80" s="12"/>
      <c r="N80" s="12"/>
      <c r="O80" s="27">
        <v>264.97487100099403</v>
      </c>
      <c r="P80" s="27">
        <v>1585.6096280699485</v>
      </c>
      <c r="Q80" s="14"/>
    </row>
    <row r="81" spans="1:17" hidden="1" x14ac:dyDescent="0.25">
      <c r="A81" s="8">
        <v>68</v>
      </c>
      <c r="B81" s="9" t="s">
        <v>98</v>
      </c>
      <c r="C81" s="10"/>
      <c r="D81" s="15" t="s">
        <v>99</v>
      </c>
      <c r="E81" s="10" t="s">
        <v>93</v>
      </c>
      <c r="F81" s="30">
        <v>0</v>
      </c>
      <c r="G81" s="31">
        <v>0</v>
      </c>
      <c r="H81" s="12" t="s">
        <v>53</v>
      </c>
      <c r="I81" s="31"/>
      <c r="J81" s="31">
        <v>5.9840000000000009</v>
      </c>
      <c r="K81" s="12"/>
      <c r="L81" s="12"/>
      <c r="M81" s="12"/>
      <c r="N81" s="12"/>
      <c r="O81" s="27">
        <v>817.50800676493088</v>
      </c>
      <c r="P81" s="27">
        <v>4891.9679124813474</v>
      </c>
      <c r="Q81" s="14"/>
    </row>
    <row r="82" spans="1:17" hidden="1" x14ac:dyDescent="0.25">
      <c r="A82" s="8">
        <v>82</v>
      </c>
      <c r="B82" s="9" t="s">
        <v>127</v>
      </c>
      <c r="C82" s="10"/>
      <c r="D82" s="15" t="s">
        <v>128</v>
      </c>
      <c r="E82" s="10" t="s">
        <v>93</v>
      </c>
      <c r="F82" s="30">
        <v>0</v>
      </c>
      <c r="G82" s="31">
        <v>0</v>
      </c>
      <c r="H82" s="12" t="s">
        <v>53</v>
      </c>
      <c r="I82" s="31"/>
      <c r="J82" s="31">
        <v>5.9840000000000009</v>
      </c>
      <c r="K82" s="12"/>
      <c r="L82" s="12"/>
      <c r="M82" s="12"/>
      <c r="N82" s="12"/>
      <c r="O82" s="27">
        <v>402.84979260201982</v>
      </c>
      <c r="P82" s="27">
        <v>2410.6531589304868</v>
      </c>
      <c r="Q82" s="14"/>
    </row>
    <row r="83" spans="1:17" x14ac:dyDescent="0.25">
      <c r="A83" s="8">
        <v>34</v>
      </c>
      <c r="B83" s="9" t="s">
        <v>67</v>
      </c>
      <c r="C83" s="10"/>
      <c r="D83" s="28" t="s">
        <v>68</v>
      </c>
      <c r="E83" s="24" t="s">
        <v>14</v>
      </c>
      <c r="F83" s="29">
        <v>634.5</v>
      </c>
      <c r="G83" s="12">
        <v>10.574999999999999</v>
      </c>
      <c r="H83" s="12" t="s">
        <v>53</v>
      </c>
      <c r="I83" s="29"/>
      <c r="J83" s="29">
        <v>1.2</v>
      </c>
      <c r="K83" s="12"/>
      <c r="L83" s="12"/>
      <c r="M83" s="12"/>
      <c r="N83" s="12"/>
      <c r="O83" s="27">
        <v>1264.1889461878475</v>
      </c>
      <c r="P83" s="27">
        <v>1517.026735425417</v>
      </c>
      <c r="Q83" s="14"/>
    </row>
  </sheetData>
  <autoFilter ref="A1:R83" xr:uid="{6B586D9A-1829-42D3-AC52-4AE6D26FDF8A}">
    <filterColumn colId="3">
      <filters>
        <filter val="ADUBAÇÃO DE COBERTURA MECANIZADO"/>
        <filter val="ADUBAÇÃO QUÍMICA MANUAL"/>
        <filter val="PREPARO DE SOLO COM ADUBAÇÃO DE BASE E MARCAÇÃO DE BACIA ECAVADEIRA"/>
        <filter val="SEMEADURA COM ADUBAÇÃO"/>
        <filter val="SUBSOLAGEM COM ADUBAÇÃO (TRATOR PNEU)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Orçado ProjetoTarifas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Saulo Rodrigues Gurgel</dc:creator>
  <cp:lastModifiedBy>Isaac Nathan da Silva Barbosa</cp:lastModifiedBy>
  <dcterms:created xsi:type="dcterms:W3CDTF">2026-01-06T19:15:32Z</dcterms:created>
  <dcterms:modified xsi:type="dcterms:W3CDTF">2026-03-19T13:54:58Z</dcterms:modified>
</cp:coreProperties>
</file>